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each\Documents\data_projects\cer_pipes\"/>
    </mc:Choice>
  </mc:AlternateContent>
  <bookViews>
    <workbookView xWindow="-100" yWindow="-100" windowWidth="33120" windowHeight="18000" activeTab="1"/>
  </bookViews>
  <sheets>
    <sheet name="ES.10" sheetId="6" r:id="rId1"/>
    <sheet name="2020_mods" sheetId="4" r:id="rId2"/>
    <sheet name="Sheet1" sheetId="5" r:id="rId3"/>
    <sheet name="10.7" sheetId="1" r:id="rId4"/>
    <sheet name="bbld" sheetId="2" r:id="rId5"/>
    <sheet name="2020ES.8" sheetId="3" r:id="rId6"/>
    <sheet name="R.33" sheetId="7" r:id="rId7"/>
  </sheets>
  <externalReferences>
    <externalReference r:id="rId8"/>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AvCnPrmtr1" localSheetId="0">#REF!</definedName>
    <definedName name="AvCnPrmtr1">#REF!</definedName>
    <definedName name="AvCnPrmtr2" localSheetId="0">#REF!</definedName>
    <definedName name="AvCnPrmtr2">#REF!</definedName>
    <definedName name="d" localSheetId="0">#REF!</definedName>
    <definedName name="d">#REF!</definedName>
    <definedName name="f" localSheetId="0">#REF!</definedName>
    <definedName name="f">#REF!</definedName>
    <definedName name="old" localSheetId="0">#REF!</definedName>
    <definedName name="old">#REF!</definedName>
    <definedName name="PCube_Well_1996" localSheetId="0">#REF!</definedName>
    <definedName name="PCube_Well_1996">#REF!</definedName>
    <definedName name="PCube_Well_1997" localSheetId="0">#REF!</definedName>
    <definedName name="PCube_Well_1997">#REF!</definedName>
    <definedName name="PCube_Well_1998" localSheetId="0">#REF!</definedName>
    <definedName name="PCube_Well_1998">#REF!</definedName>
    <definedName name="PCube_Well_1999" localSheetId="0">#REF!</definedName>
    <definedName name="PCube_Well_1999">#REF!</definedName>
    <definedName name="PCube_Well_2000" localSheetId="0">#REF!</definedName>
    <definedName name="PCube_Well_2000">#REF!</definedName>
    <definedName name="PCube_Well_2001" localSheetId="0">#REF!</definedName>
    <definedName name="PCube_Well_2001">#REF!</definedName>
    <definedName name="PCube_Well_2002" localSheetId="0">#REF!</definedName>
    <definedName name="PCube_Well_2002">#REF!</definedName>
    <definedName name="PCube_Well_2003" localSheetId="0">#REF!</definedName>
    <definedName name="PCube_Well_2003">#REF!</definedName>
    <definedName name="PCube_Well_2004" localSheetId="0">#REF!</definedName>
    <definedName name="PCube_Well_2004">#REF!</definedName>
    <definedName name="PCube_Well_2005" localSheetId="0">#REF!</definedName>
    <definedName name="PCube_Well_2005">#REF!</definedName>
    <definedName name="PCube_Well_2006" localSheetId="0">#REF!</definedName>
    <definedName name="PCube_Well_2006">#REF!</definedName>
    <definedName name="PCube_Well_2007" localSheetId="0">#REF!</definedName>
    <definedName name="PCube_Well_2007">#REF!</definedName>
    <definedName name="PCube_Well_2008" localSheetId="0">#REF!</definedName>
    <definedName name="PCube_Well_2008">#REF!</definedName>
    <definedName name="Production_by_Grouping_by_Month02_HI" localSheetId="0">#REF!</definedName>
    <definedName name="Production_by_Grouping_by_Month02_HI">#REF!</definedName>
    <definedName name="Production_by_Grouping_by_Month02_Ref" localSheetId="0">#REF!</definedName>
    <definedName name="Production_by_Grouping_by_Month02_Ref">#REF!</definedName>
    <definedName name="Query1" localSheetId="0">#REF!</definedName>
    <definedName name="Query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Tbl_6_4_TotCan" localSheetId="0">#REF!</definedName>
    <definedName name="Tbl_6_4_TotCan">#REF!</definedName>
    <definedName name="wwww" localSheetId="0">#REF!</definedName>
    <definedName name="wwww">#REF!</definedName>
    <definedName name="wwwww" localSheetId="0">#REF!</definedName>
    <definedName name="wwwww">#REF!</definedName>
    <definedName name="x" localSheetId="0">#REF!</definedName>
    <definedName name="x">#REF!</definedName>
    <definedName name="zz_FcstDL3" localSheetId="0">#REF!</definedName>
    <definedName name="zz_FcstDL3">#REF!</definedName>
    <definedName name="zz_GasOilSplit3">[1]zz_GasOilSplit3!$A$1:$M$2071</definedName>
    <definedName name="zzz_Tbl_6_1_DL" localSheetId="0">#REF!</definedName>
    <definedName name="zzz_Tbl_6_1_DL">#REF!</definedName>
  </definedNames>
  <calcPr calcId="162913"/>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Q14" i="7" l="1"/>
  <c r="Q15" i="7"/>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H44" i="4"/>
  <c r="H43" i="4"/>
  <c r="H42" i="4"/>
  <c r="H41" i="4"/>
  <c r="H40" i="4"/>
  <c r="H37" i="4"/>
  <c r="H36" i="4"/>
  <c r="H35" i="4"/>
  <c r="H34" i="4"/>
  <c r="H33" i="4"/>
  <c r="H32" i="4"/>
  <c r="H31" i="4"/>
  <c r="H30" i="4"/>
  <c r="H29" i="4"/>
  <c r="H28" i="4"/>
  <c r="H25" i="4"/>
  <c r="H24" i="4"/>
  <c r="H23" i="4"/>
  <c r="H22" i="4"/>
  <c r="H21" i="4"/>
  <c r="H20" i="4"/>
  <c r="J20" i="4" s="1"/>
  <c r="H16" i="4"/>
  <c r="H15" i="4"/>
  <c r="H14" i="4"/>
  <c r="H8" i="4"/>
  <c r="H7" i="4"/>
  <c r="H6" i="4"/>
  <c r="H5" i="4"/>
  <c r="H4" i="4"/>
  <c r="H17" i="4"/>
  <c r="R39" i="7"/>
  <c r="R38" i="7"/>
  <c r="R37" i="7"/>
  <c r="R36" i="7"/>
  <c r="R35" i="7"/>
  <c r="R34" i="7"/>
  <c r="R33" i="7"/>
  <c r="R32" i="7"/>
  <c r="R31" i="7"/>
  <c r="R30" i="7"/>
  <c r="R29" i="7"/>
  <c r="R28" i="7"/>
  <c r="R27" i="7"/>
  <c r="R26" i="7"/>
  <c r="R25" i="7"/>
  <c r="R24" i="7"/>
  <c r="R23" i="7"/>
  <c r="C44" i="4"/>
  <c r="C43" i="4"/>
  <c r="C42" i="4"/>
  <c r="C41" i="4"/>
  <c r="C40" i="4"/>
  <c r="C39" i="4"/>
  <c r="H39" i="4" s="1"/>
  <c r="C38" i="4"/>
  <c r="H38" i="4" s="1"/>
  <c r="C37" i="4"/>
  <c r="C36" i="4"/>
  <c r="C35" i="4"/>
  <c r="C34" i="4"/>
  <c r="C33" i="4"/>
  <c r="C32" i="4"/>
  <c r="C31" i="4"/>
  <c r="C30" i="4"/>
  <c r="C29" i="4"/>
  <c r="C28" i="4"/>
  <c r="C27" i="4"/>
  <c r="H27" i="4" s="1"/>
  <c r="C26" i="4"/>
  <c r="H26" i="4" s="1"/>
  <c r="C25" i="4"/>
  <c r="C24" i="4"/>
  <c r="C23" i="4"/>
  <c r="C22" i="4"/>
  <c r="C21" i="4"/>
  <c r="C20" i="4"/>
  <c r="C19" i="4"/>
  <c r="H19" i="4" s="1"/>
  <c r="C18" i="4"/>
  <c r="H18" i="4" s="1"/>
  <c r="C17" i="4"/>
  <c r="C16" i="4"/>
  <c r="C15" i="4"/>
  <c r="C14" i="4"/>
  <c r="P15" i="7"/>
  <c r="Q13" i="7"/>
  <c r="Q12" i="7"/>
  <c r="Q11" i="7"/>
  <c r="Q10" i="7"/>
  <c r="Q9" i="7"/>
  <c r="Q8" i="7"/>
  <c r="J39" i="4" l="1"/>
  <c r="J22" i="4"/>
  <c r="J42" i="4"/>
  <c r="J40" i="4"/>
  <c r="J19" i="4"/>
  <c r="J43" i="4"/>
  <c r="J4" i="4"/>
  <c r="J24" i="4"/>
  <c r="J23" i="4"/>
  <c r="J35" i="4"/>
  <c r="J36" i="4"/>
  <c r="J38" i="4"/>
  <c r="J21" i="4"/>
  <c r="J41" i="4"/>
  <c r="J8" i="4"/>
  <c r="J17" i="4"/>
  <c r="J15" i="4"/>
  <c r="J14" i="4"/>
  <c r="J16" i="4"/>
  <c r="J44" i="4"/>
  <c r="J18" i="4"/>
  <c r="J5" i="4"/>
  <c r="J6" i="4"/>
  <c r="J7" i="4"/>
  <c r="J37" i="4"/>
  <c r="J30" i="4"/>
  <c r="J25" i="4"/>
  <c r="J26" i="4"/>
  <c r="J27" i="4"/>
  <c r="J28" i="4"/>
  <c r="J31" i="4"/>
  <c r="J34" i="4"/>
  <c r="J29" i="4"/>
  <c r="J32" i="4"/>
  <c r="J33" i="4"/>
  <c r="A2" i="7"/>
  <c r="E47" i="6" l="1"/>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C12" i="5" l="1"/>
  <c r="C11" i="5"/>
  <c r="C10" i="5"/>
  <c r="C9" i="5"/>
  <c r="C8" i="5"/>
  <c r="C7" i="5"/>
  <c r="C6" i="5"/>
  <c r="C5" i="5"/>
  <c r="C4" i="5"/>
  <c r="T36" i="3"/>
  <c r="T28" i="3"/>
  <c r="T20" i="3"/>
  <c r="T12" i="3"/>
  <c r="T4" i="3"/>
  <c r="R4" i="3"/>
  <c r="X34" i="4"/>
  <c r="X33" i="4"/>
  <c r="X32" i="4"/>
  <c r="X31" i="4"/>
  <c r="X30" i="4"/>
  <c r="X29" i="4"/>
  <c r="X28" i="4"/>
  <c r="X27" i="4"/>
  <c r="X26" i="4"/>
  <c r="X25" i="4"/>
  <c r="X24" i="4"/>
  <c r="X23" i="4"/>
  <c r="X22" i="4"/>
  <c r="X21" i="4"/>
  <c r="X20" i="4"/>
  <c r="X19" i="4"/>
  <c r="X18" i="4"/>
  <c r="X17" i="4"/>
  <c r="X16" i="4"/>
  <c r="X15" i="4"/>
  <c r="X14" i="4"/>
  <c r="Q14" i="4"/>
  <c r="N14" i="4" s="1"/>
  <c r="X13" i="4"/>
  <c r="Q13" i="4"/>
  <c r="S13" i="4" s="1"/>
  <c r="C13" i="4"/>
  <c r="H13" i="4" s="1"/>
  <c r="X12" i="4"/>
  <c r="N12" i="4"/>
  <c r="S12" i="4"/>
  <c r="C12" i="4"/>
  <c r="H12" i="4" s="1"/>
  <c r="X11" i="4"/>
  <c r="N11" i="4"/>
  <c r="S11" i="4"/>
  <c r="C11" i="4"/>
  <c r="H11" i="4" s="1"/>
  <c r="X10" i="4"/>
  <c r="N10" i="4"/>
  <c r="S10" i="4"/>
  <c r="C10" i="4"/>
  <c r="H10" i="4" s="1"/>
  <c r="X9" i="4"/>
  <c r="N9" i="4"/>
  <c r="S9" i="4"/>
  <c r="C9" i="4"/>
  <c r="H9" i="4" s="1"/>
  <c r="X8" i="4"/>
  <c r="N8" i="4"/>
  <c r="S8" i="4"/>
  <c r="X7" i="4"/>
  <c r="N7" i="4"/>
  <c r="S7" i="4"/>
  <c r="X6" i="4"/>
  <c r="N6" i="4"/>
  <c r="S6" i="4"/>
  <c r="X5" i="4"/>
  <c r="N5" i="4"/>
  <c r="S5" i="4"/>
  <c r="X4" i="4"/>
  <c r="N4" i="4"/>
  <c r="S4" i="4"/>
  <c r="O2" i="4"/>
  <c r="AA44" i="3"/>
  <c r="Z44" i="3"/>
  <c r="Y44" i="3"/>
  <c r="X44" i="3"/>
  <c r="W44" i="3"/>
  <c r="V44" i="3"/>
  <c r="U44" i="3"/>
  <c r="S44" i="3"/>
  <c r="R44" i="3"/>
  <c r="T44" i="3" s="1"/>
  <c r="Q44" i="3"/>
  <c r="AA43" i="3"/>
  <c r="Z43" i="3"/>
  <c r="Y43" i="3"/>
  <c r="X43" i="3"/>
  <c r="W43" i="3"/>
  <c r="V43" i="3"/>
  <c r="U43" i="3"/>
  <c r="S43" i="3"/>
  <c r="R43" i="3"/>
  <c r="T43" i="3" s="1"/>
  <c r="Q43" i="3"/>
  <c r="AA42" i="3"/>
  <c r="Z42" i="3"/>
  <c r="Y42" i="3"/>
  <c r="X42" i="3"/>
  <c r="W42" i="3"/>
  <c r="V42" i="3"/>
  <c r="U42" i="3"/>
  <c r="S42" i="3"/>
  <c r="R42" i="3"/>
  <c r="T42" i="3" s="1"/>
  <c r="Q42" i="3"/>
  <c r="AA41" i="3"/>
  <c r="Z41" i="3"/>
  <c r="Y41" i="3"/>
  <c r="X41" i="3"/>
  <c r="W41" i="3"/>
  <c r="V41" i="3"/>
  <c r="U41" i="3"/>
  <c r="S41" i="3"/>
  <c r="R41" i="3"/>
  <c r="T41" i="3" s="1"/>
  <c r="Q41" i="3"/>
  <c r="AA40" i="3"/>
  <c r="Z40" i="3"/>
  <c r="Y40" i="3"/>
  <c r="X40" i="3"/>
  <c r="W40" i="3"/>
  <c r="V40" i="3"/>
  <c r="U40" i="3"/>
  <c r="S40" i="3"/>
  <c r="R40" i="3"/>
  <c r="T40" i="3" s="1"/>
  <c r="Q40" i="3"/>
  <c r="AA39" i="3"/>
  <c r="Z39" i="3"/>
  <c r="Y39" i="3"/>
  <c r="X39" i="3"/>
  <c r="W39" i="3"/>
  <c r="V39" i="3"/>
  <c r="U39" i="3"/>
  <c r="S39" i="3"/>
  <c r="R39" i="3"/>
  <c r="T39" i="3" s="1"/>
  <c r="Q39" i="3"/>
  <c r="AA38" i="3"/>
  <c r="Z38" i="3"/>
  <c r="Y38" i="3"/>
  <c r="X38" i="3"/>
  <c r="W38" i="3"/>
  <c r="V38" i="3"/>
  <c r="U38" i="3"/>
  <c r="S38" i="3"/>
  <c r="R38" i="3"/>
  <c r="T38" i="3" s="1"/>
  <c r="Q38" i="3"/>
  <c r="AA37" i="3"/>
  <c r="Z37" i="3"/>
  <c r="Y37" i="3"/>
  <c r="X37" i="3"/>
  <c r="W37" i="3"/>
  <c r="V37" i="3"/>
  <c r="U37" i="3"/>
  <c r="S37" i="3"/>
  <c r="R37" i="3"/>
  <c r="T37" i="3" s="1"/>
  <c r="Q37" i="3"/>
  <c r="AA36" i="3"/>
  <c r="Z36" i="3"/>
  <c r="Y36" i="3"/>
  <c r="X36" i="3"/>
  <c r="W36" i="3"/>
  <c r="V36" i="3"/>
  <c r="U36" i="3"/>
  <c r="S36" i="3"/>
  <c r="R36" i="3"/>
  <c r="Q36" i="3"/>
  <c r="AA35" i="3"/>
  <c r="Z35" i="3"/>
  <c r="Y35" i="3"/>
  <c r="X35" i="3"/>
  <c r="W35" i="3"/>
  <c r="V35" i="3"/>
  <c r="U35" i="3"/>
  <c r="S35" i="3"/>
  <c r="R35" i="3"/>
  <c r="T35" i="3" s="1"/>
  <c r="Q35" i="3"/>
  <c r="AA34" i="3"/>
  <c r="Z34" i="3"/>
  <c r="Y34" i="3"/>
  <c r="X34" i="3"/>
  <c r="W34" i="3"/>
  <c r="V34" i="3"/>
  <c r="U34" i="3"/>
  <c r="S34" i="3"/>
  <c r="R34" i="3"/>
  <c r="T34" i="3" s="1"/>
  <c r="Q34" i="3"/>
  <c r="AA33" i="3"/>
  <c r="Z33" i="3"/>
  <c r="Y33" i="3"/>
  <c r="X33" i="3"/>
  <c r="W33" i="3"/>
  <c r="V33" i="3"/>
  <c r="U33" i="3"/>
  <c r="S33" i="3"/>
  <c r="T33" i="3" s="1"/>
  <c r="R33" i="3"/>
  <c r="Q33" i="3"/>
  <c r="AA32" i="3"/>
  <c r="Z32" i="3"/>
  <c r="Y32" i="3"/>
  <c r="X32" i="3"/>
  <c r="W32" i="3"/>
  <c r="V32" i="3"/>
  <c r="U32" i="3"/>
  <c r="S32" i="3"/>
  <c r="R32" i="3"/>
  <c r="T32" i="3" s="1"/>
  <c r="Q32" i="3"/>
  <c r="AA31" i="3"/>
  <c r="Z31" i="3"/>
  <c r="Y31" i="3"/>
  <c r="X31" i="3"/>
  <c r="W31" i="3"/>
  <c r="V31" i="3"/>
  <c r="U31" i="3"/>
  <c r="S31" i="3"/>
  <c r="R31" i="3"/>
  <c r="T31" i="3" s="1"/>
  <c r="Q31" i="3"/>
  <c r="AA30" i="3"/>
  <c r="Z30" i="3"/>
  <c r="Y30" i="3"/>
  <c r="X30" i="3"/>
  <c r="W30" i="3"/>
  <c r="V30" i="3"/>
  <c r="U30" i="3"/>
  <c r="S30" i="3"/>
  <c r="R30" i="3"/>
  <c r="T30" i="3" s="1"/>
  <c r="Q30" i="3"/>
  <c r="AA29" i="3"/>
  <c r="Z29" i="3"/>
  <c r="Y29" i="3"/>
  <c r="X29" i="3"/>
  <c r="W29" i="3"/>
  <c r="V29" i="3"/>
  <c r="U29" i="3"/>
  <c r="S29" i="3"/>
  <c r="R29" i="3"/>
  <c r="T29" i="3" s="1"/>
  <c r="Q29" i="3"/>
  <c r="AA28" i="3"/>
  <c r="Z28" i="3"/>
  <c r="Y28" i="3"/>
  <c r="X28" i="3"/>
  <c r="W28" i="3"/>
  <c r="V28" i="3"/>
  <c r="U28" i="3"/>
  <c r="S28" i="3"/>
  <c r="R28" i="3"/>
  <c r="Q28" i="3"/>
  <c r="AA27" i="3"/>
  <c r="Z27" i="3"/>
  <c r="Y27" i="3"/>
  <c r="X27" i="3"/>
  <c r="W27" i="3"/>
  <c r="V27" i="3"/>
  <c r="U27" i="3"/>
  <c r="S27" i="3"/>
  <c r="R27" i="3"/>
  <c r="T27" i="3" s="1"/>
  <c r="Q27" i="3"/>
  <c r="AA26" i="3"/>
  <c r="Z26" i="3"/>
  <c r="Y26" i="3"/>
  <c r="X26" i="3"/>
  <c r="W26" i="3"/>
  <c r="V26" i="3"/>
  <c r="U26" i="3"/>
  <c r="S26" i="3"/>
  <c r="R26" i="3"/>
  <c r="T26" i="3" s="1"/>
  <c r="Q26" i="3"/>
  <c r="AA25" i="3"/>
  <c r="Z25" i="3"/>
  <c r="Y25" i="3"/>
  <c r="X25" i="3"/>
  <c r="W25" i="3"/>
  <c r="V25" i="3"/>
  <c r="U25" i="3"/>
  <c r="S25" i="3"/>
  <c r="T25" i="3" s="1"/>
  <c r="R25" i="3"/>
  <c r="Q25" i="3"/>
  <c r="AA24" i="3"/>
  <c r="Z24" i="3"/>
  <c r="Y24" i="3"/>
  <c r="X24" i="3"/>
  <c r="W24" i="3"/>
  <c r="V24" i="3"/>
  <c r="U24" i="3"/>
  <c r="S24" i="3"/>
  <c r="R24" i="3"/>
  <c r="T24" i="3" s="1"/>
  <c r="Q24" i="3"/>
  <c r="AA23" i="3"/>
  <c r="Z23" i="3"/>
  <c r="Y23" i="3"/>
  <c r="X23" i="3"/>
  <c r="W23" i="3"/>
  <c r="V23" i="3"/>
  <c r="U23" i="3"/>
  <c r="S23" i="3"/>
  <c r="R23" i="3"/>
  <c r="T23" i="3" s="1"/>
  <c r="Q23" i="3"/>
  <c r="AA22" i="3"/>
  <c r="Z22" i="3"/>
  <c r="Y22" i="3"/>
  <c r="X22" i="3"/>
  <c r="W22" i="3"/>
  <c r="V22" i="3"/>
  <c r="U22" i="3"/>
  <c r="S22" i="3"/>
  <c r="R22" i="3"/>
  <c r="T22" i="3" s="1"/>
  <c r="Q22" i="3"/>
  <c r="AA21" i="3"/>
  <c r="Z21" i="3"/>
  <c r="Y21" i="3"/>
  <c r="X21" i="3"/>
  <c r="W21" i="3"/>
  <c r="V21" i="3"/>
  <c r="U21" i="3"/>
  <c r="S21" i="3"/>
  <c r="R21" i="3"/>
  <c r="T21" i="3" s="1"/>
  <c r="Q21" i="3"/>
  <c r="AA20" i="3"/>
  <c r="Z20" i="3"/>
  <c r="Y20" i="3"/>
  <c r="X20" i="3"/>
  <c r="W20" i="3"/>
  <c r="V20" i="3"/>
  <c r="U20" i="3"/>
  <c r="S20" i="3"/>
  <c r="R20" i="3"/>
  <c r="Q20" i="3"/>
  <c r="AA19" i="3"/>
  <c r="Z19" i="3"/>
  <c r="Y19" i="3"/>
  <c r="X19" i="3"/>
  <c r="W19" i="3"/>
  <c r="V19" i="3"/>
  <c r="U19" i="3"/>
  <c r="S19" i="3"/>
  <c r="R19" i="3"/>
  <c r="T19" i="3" s="1"/>
  <c r="Q19" i="3"/>
  <c r="AA18" i="3"/>
  <c r="Z18" i="3"/>
  <c r="Y18" i="3"/>
  <c r="X18" i="3"/>
  <c r="W18" i="3"/>
  <c r="V18" i="3"/>
  <c r="U18" i="3"/>
  <c r="S18" i="3"/>
  <c r="R18" i="3"/>
  <c r="T18" i="3" s="1"/>
  <c r="Q18" i="3"/>
  <c r="AA17" i="3"/>
  <c r="Z17" i="3"/>
  <c r="Y17" i="3"/>
  <c r="X17" i="3"/>
  <c r="W17" i="3"/>
  <c r="V17" i="3"/>
  <c r="U17" i="3"/>
  <c r="S17" i="3"/>
  <c r="T17" i="3" s="1"/>
  <c r="R17" i="3"/>
  <c r="Q17" i="3"/>
  <c r="AA16" i="3"/>
  <c r="Z16" i="3"/>
  <c r="Y16" i="3"/>
  <c r="X16" i="3"/>
  <c r="W16" i="3"/>
  <c r="V16" i="3"/>
  <c r="U16" i="3"/>
  <c r="S16" i="3"/>
  <c r="R16" i="3"/>
  <c r="T16" i="3" s="1"/>
  <c r="Q16" i="3"/>
  <c r="AA15" i="3"/>
  <c r="Z15" i="3"/>
  <c r="Y15" i="3"/>
  <c r="X15" i="3"/>
  <c r="W15" i="3"/>
  <c r="V15" i="3"/>
  <c r="U15" i="3"/>
  <c r="S15" i="3"/>
  <c r="R15" i="3"/>
  <c r="T15" i="3" s="1"/>
  <c r="Q15" i="3"/>
  <c r="AA14" i="3"/>
  <c r="Z14" i="3"/>
  <c r="Y14" i="3"/>
  <c r="X14" i="3"/>
  <c r="W14" i="3"/>
  <c r="V14" i="3"/>
  <c r="U14" i="3"/>
  <c r="S14" i="3"/>
  <c r="R14" i="3"/>
  <c r="T14" i="3" s="1"/>
  <c r="Q14" i="3"/>
  <c r="AA13" i="3"/>
  <c r="Z13" i="3"/>
  <c r="Y13" i="3"/>
  <c r="X13" i="3"/>
  <c r="W13" i="3"/>
  <c r="V13" i="3"/>
  <c r="U13" i="3"/>
  <c r="S13" i="3"/>
  <c r="R13" i="3"/>
  <c r="T13" i="3" s="1"/>
  <c r="Q13" i="3"/>
  <c r="AA12" i="3"/>
  <c r="Z12" i="3"/>
  <c r="Y12" i="3"/>
  <c r="X12" i="3"/>
  <c r="W12" i="3"/>
  <c r="V12" i="3"/>
  <c r="U12" i="3"/>
  <c r="S12" i="3"/>
  <c r="R12" i="3"/>
  <c r="Q12" i="3"/>
  <c r="AA11" i="3"/>
  <c r="Z11" i="3"/>
  <c r="Y11" i="3"/>
  <c r="X11" i="3"/>
  <c r="W11" i="3"/>
  <c r="V11" i="3"/>
  <c r="U11" i="3"/>
  <c r="S11" i="3"/>
  <c r="R11" i="3"/>
  <c r="T11" i="3" s="1"/>
  <c r="Q11" i="3"/>
  <c r="AA10" i="3"/>
  <c r="Z10" i="3"/>
  <c r="Y10" i="3"/>
  <c r="X10" i="3"/>
  <c r="W10" i="3"/>
  <c r="V10" i="3"/>
  <c r="U10" i="3"/>
  <c r="S10" i="3"/>
  <c r="R10" i="3"/>
  <c r="T10" i="3" s="1"/>
  <c r="Q10" i="3"/>
  <c r="AA9" i="3"/>
  <c r="Z9" i="3"/>
  <c r="Y9" i="3"/>
  <c r="X9" i="3"/>
  <c r="W9" i="3"/>
  <c r="V9" i="3"/>
  <c r="U9" i="3"/>
  <c r="S9" i="3"/>
  <c r="T9" i="3" s="1"/>
  <c r="R9" i="3"/>
  <c r="Q9" i="3"/>
  <c r="AA8" i="3"/>
  <c r="Z8" i="3"/>
  <c r="Y8" i="3"/>
  <c r="X8" i="3"/>
  <c r="W8" i="3"/>
  <c r="V8" i="3"/>
  <c r="U8" i="3"/>
  <c r="S8" i="3"/>
  <c r="R8" i="3"/>
  <c r="T8" i="3" s="1"/>
  <c r="Q8" i="3"/>
  <c r="AA7" i="3"/>
  <c r="Z7" i="3"/>
  <c r="Y7" i="3"/>
  <c r="X7" i="3"/>
  <c r="W7" i="3"/>
  <c r="V7" i="3"/>
  <c r="U7" i="3"/>
  <c r="S7" i="3"/>
  <c r="R7" i="3"/>
  <c r="T7" i="3" s="1"/>
  <c r="Q7" i="3"/>
  <c r="AA6" i="3"/>
  <c r="Z6" i="3"/>
  <c r="Y6" i="3"/>
  <c r="X6" i="3"/>
  <c r="W6" i="3"/>
  <c r="V6" i="3"/>
  <c r="U6" i="3"/>
  <c r="S6" i="3"/>
  <c r="R6" i="3"/>
  <c r="T6" i="3" s="1"/>
  <c r="Q6" i="3"/>
  <c r="AA5" i="3"/>
  <c r="Z5" i="3"/>
  <c r="Y5" i="3"/>
  <c r="X5" i="3"/>
  <c r="W5" i="3"/>
  <c r="V5" i="3"/>
  <c r="U5" i="3"/>
  <c r="S5" i="3"/>
  <c r="R5" i="3"/>
  <c r="T5" i="3" s="1"/>
  <c r="Q5" i="3"/>
  <c r="AA4" i="3"/>
  <c r="Z4" i="3"/>
  <c r="Y4" i="3"/>
  <c r="X4" i="3"/>
  <c r="W4" i="3"/>
  <c r="U4" i="3"/>
  <c r="S4" i="3"/>
  <c r="Q4" i="3"/>
  <c r="V4" i="3"/>
  <c r="N45" i="3"/>
  <c r="B45" i="3"/>
  <c r="M44" i="3"/>
  <c r="P44" i="3" s="1"/>
  <c r="M43" i="3"/>
  <c r="P43" i="3" s="1"/>
  <c r="M42" i="3"/>
  <c r="P42" i="3" s="1"/>
  <c r="M41" i="3"/>
  <c r="P41" i="3" s="1"/>
  <c r="M40" i="3"/>
  <c r="P40" i="3" s="1"/>
  <c r="M39" i="3"/>
  <c r="P39" i="3" s="1"/>
  <c r="M38" i="3"/>
  <c r="P38" i="3" s="1"/>
  <c r="M37" i="3"/>
  <c r="O37" i="3" s="1"/>
  <c r="M36" i="3"/>
  <c r="O36" i="3" s="1"/>
  <c r="M35" i="3"/>
  <c r="P35" i="3" s="1"/>
  <c r="M34" i="3"/>
  <c r="P34" i="3" s="1"/>
  <c r="M33" i="3"/>
  <c r="P33" i="3" s="1"/>
  <c r="M32" i="3"/>
  <c r="P32" i="3" s="1"/>
  <c r="M31" i="3"/>
  <c r="P31" i="3" s="1"/>
  <c r="M30" i="3"/>
  <c r="P30" i="3" s="1"/>
  <c r="M29" i="3"/>
  <c r="O29" i="3" s="1"/>
  <c r="M28" i="3"/>
  <c r="O28" i="3" s="1"/>
  <c r="M27" i="3"/>
  <c r="P27" i="3" s="1"/>
  <c r="M26" i="3"/>
  <c r="P26" i="3" s="1"/>
  <c r="M25" i="3"/>
  <c r="P25" i="3" s="1"/>
  <c r="M24" i="3"/>
  <c r="P24" i="3" s="1"/>
  <c r="M23" i="3"/>
  <c r="P23" i="3" s="1"/>
  <c r="M22" i="3"/>
  <c r="P22" i="3" s="1"/>
  <c r="M21" i="3"/>
  <c r="O21" i="3" s="1"/>
  <c r="M20" i="3"/>
  <c r="O20" i="3" s="1"/>
  <c r="M19" i="3"/>
  <c r="P19" i="3" s="1"/>
  <c r="M18" i="3"/>
  <c r="P18" i="3" s="1"/>
  <c r="M17" i="3"/>
  <c r="P17" i="3" s="1"/>
  <c r="M16" i="3"/>
  <c r="P16" i="3" s="1"/>
  <c r="M15" i="3"/>
  <c r="O15" i="3" s="1"/>
  <c r="M14" i="3"/>
  <c r="P14" i="3" s="1"/>
  <c r="M13" i="3"/>
  <c r="O13" i="3" s="1"/>
  <c r="M12" i="3"/>
  <c r="O12" i="3" s="1"/>
  <c r="M11" i="3"/>
  <c r="P11" i="3" s="1"/>
  <c r="M10" i="3"/>
  <c r="P10" i="3" s="1"/>
  <c r="M9" i="3"/>
  <c r="P9" i="3" s="1"/>
  <c r="M8" i="3"/>
  <c r="P8" i="3" s="1"/>
  <c r="M7" i="3"/>
  <c r="P7" i="3" s="1"/>
  <c r="M6" i="3"/>
  <c r="O6" i="3" s="1"/>
  <c r="M5" i="3"/>
  <c r="O5" i="3" s="1"/>
  <c r="M4" i="3"/>
  <c r="O4" i="3" s="1"/>
  <c r="D44" i="1"/>
  <c r="C44" i="1"/>
  <c r="D43" i="1"/>
  <c r="C43" i="1"/>
  <c r="D42" i="1"/>
  <c r="C42" i="1"/>
  <c r="D41" i="1"/>
  <c r="C41" i="1"/>
  <c r="D40" i="1"/>
  <c r="C40" i="1"/>
  <c r="D39" i="1"/>
  <c r="C39" i="1"/>
  <c r="D38" i="1"/>
  <c r="C38" i="1"/>
  <c r="D37" i="1"/>
  <c r="C37" i="1"/>
  <c r="D36" i="1"/>
  <c r="C36" i="1"/>
  <c r="D35" i="1"/>
  <c r="C35" i="1"/>
  <c r="C34" i="1"/>
  <c r="C33" i="1"/>
  <c r="C32" i="1"/>
  <c r="C31" i="1"/>
  <c r="C30" i="1"/>
  <c r="C29" i="1"/>
  <c r="C28" i="1"/>
  <c r="C27" i="1"/>
  <c r="C26" i="1"/>
  <c r="C25" i="1"/>
  <c r="C24" i="1"/>
  <c r="C23" i="1"/>
  <c r="C22" i="1"/>
  <c r="C21" i="1"/>
  <c r="C20" i="1"/>
  <c r="C19" i="1"/>
  <c r="C18" i="1"/>
  <c r="C17" i="1"/>
  <c r="C16" i="1"/>
  <c r="C15" i="1"/>
  <c r="C14" i="1"/>
  <c r="J11" i="4" l="1"/>
  <c r="J9" i="4"/>
  <c r="J10" i="4"/>
  <c r="J12" i="4"/>
  <c r="J13" i="4"/>
  <c r="Q15" i="4"/>
  <c r="O16" i="3"/>
  <c r="O31" i="3"/>
  <c r="O39" i="3"/>
  <c r="S14" i="4"/>
  <c r="O40" i="3"/>
  <c r="N13" i="4"/>
  <c r="O24" i="3"/>
  <c r="P15" i="3"/>
  <c r="P36" i="3"/>
  <c r="O8" i="3"/>
  <c r="O7" i="3"/>
  <c r="P12" i="3"/>
  <c r="O23" i="3"/>
  <c r="O32" i="3"/>
  <c r="P28" i="3"/>
  <c r="P4" i="3"/>
  <c r="P20" i="3"/>
  <c r="P37" i="3"/>
  <c r="O43" i="3"/>
  <c r="P5" i="3"/>
  <c r="P13" i="3"/>
  <c r="O11" i="3"/>
  <c r="O19" i="3"/>
  <c r="O27" i="3"/>
  <c r="O35" i="3"/>
  <c r="O14" i="3"/>
  <c r="O22" i="3"/>
  <c r="O30" i="3"/>
  <c r="O38" i="3"/>
  <c r="P6" i="3"/>
  <c r="O9" i="3"/>
  <c r="O17" i="3"/>
  <c r="O25" i="3"/>
  <c r="O33" i="3"/>
  <c r="O41" i="3"/>
  <c r="P21" i="3"/>
  <c r="P29" i="3"/>
  <c r="O44" i="3"/>
  <c r="O42" i="3"/>
  <c r="O10" i="3"/>
  <c r="O18" i="3"/>
  <c r="O26" i="3"/>
  <c r="O34" i="3"/>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S15" i="4" l="1"/>
  <c r="Q16" i="4"/>
  <c r="N15" i="4"/>
  <c r="Q14" i="1"/>
  <c r="G2" i="1"/>
  <c r="S16" i="4" l="1"/>
  <c r="Q17" i="4"/>
  <c r="N16" i="4"/>
  <c r="J12" i="1"/>
  <c r="J10" i="2" s="1"/>
  <c r="M25" i="2" s="1"/>
  <c r="M26" i="2"/>
  <c r="J26" i="2"/>
  <c r="G26" i="2"/>
  <c r="T22" i="2"/>
  <c r="T21" i="2"/>
  <c r="T20" i="2"/>
  <c r="T19" i="2"/>
  <c r="T18" i="2"/>
  <c r="T17" i="2"/>
  <c r="T16" i="2"/>
  <c r="T15" i="2"/>
  <c r="T14" i="2"/>
  <c r="T13" i="2"/>
  <c r="T12" i="2"/>
  <c r="T11" i="2"/>
  <c r="T10" i="2"/>
  <c r="T9" i="2"/>
  <c r="T8" i="2"/>
  <c r="T7" i="2"/>
  <c r="T6" i="2"/>
  <c r="T5" i="2"/>
  <c r="T4" i="2"/>
  <c r="T3" i="2"/>
  <c r="T2" i="2"/>
  <c r="T1" i="2"/>
  <c r="S22" i="2"/>
  <c r="R22" i="2"/>
  <c r="P22" i="2"/>
  <c r="N22" i="2"/>
  <c r="M22" i="2"/>
  <c r="L22" i="2"/>
  <c r="E25" i="2" s="1"/>
  <c r="G25" i="2" s="1"/>
  <c r="K22" i="2"/>
  <c r="I22" i="2"/>
  <c r="H22" i="2"/>
  <c r="G22" i="2"/>
  <c r="F22" i="2"/>
  <c r="E22" i="2"/>
  <c r="B22" i="2"/>
  <c r="S21" i="2"/>
  <c r="R21" i="2"/>
  <c r="P21" i="2"/>
  <c r="N21" i="2"/>
  <c r="M21" i="2"/>
  <c r="L21" i="2"/>
  <c r="K21" i="2"/>
  <c r="I21" i="2"/>
  <c r="H21" i="2"/>
  <c r="G21" i="2"/>
  <c r="F21" i="2"/>
  <c r="E21" i="2"/>
  <c r="B21" i="2"/>
  <c r="S20" i="2"/>
  <c r="R20" i="2"/>
  <c r="P20" i="2"/>
  <c r="N20" i="2"/>
  <c r="M20" i="2"/>
  <c r="L20" i="2"/>
  <c r="K20" i="2"/>
  <c r="I20" i="2"/>
  <c r="H20" i="2"/>
  <c r="G20" i="2"/>
  <c r="F20" i="2"/>
  <c r="E20" i="2"/>
  <c r="B20" i="2"/>
  <c r="S19" i="2"/>
  <c r="R19" i="2"/>
  <c r="P19" i="2"/>
  <c r="N19" i="2"/>
  <c r="M19" i="2"/>
  <c r="L19" i="2"/>
  <c r="K19" i="2"/>
  <c r="I19" i="2"/>
  <c r="H19" i="2"/>
  <c r="G19" i="2"/>
  <c r="F19" i="2"/>
  <c r="E19" i="2"/>
  <c r="B19" i="2"/>
  <c r="S18" i="2"/>
  <c r="R18" i="2"/>
  <c r="P18" i="2"/>
  <c r="N18" i="2"/>
  <c r="M18" i="2"/>
  <c r="L18" i="2"/>
  <c r="K18" i="2"/>
  <c r="I18" i="2"/>
  <c r="H18" i="2"/>
  <c r="G18" i="2"/>
  <c r="F18" i="2"/>
  <c r="E18" i="2"/>
  <c r="B18" i="2"/>
  <c r="S17" i="2"/>
  <c r="R17" i="2"/>
  <c r="P17" i="2"/>
  <c r="N17" i="2"/>
  <c r="M17" i="2"/>
  <c r="L17" i="2"/>
  <c r="K17" i="2"/>
  <c r="I17" i="2"/>
  <c r="H17" i="2"/>
  <c r="G17" i="2"/>
  <c r="F17" i="2"/>
  <c r="E17" i="2"/>
  <c r="B17" i="2"/>
  <c r="S16" i="2"/>
  <c r="R16" i="2"/>
  <c r="P16" i="2"/>
  <c r="M16" i="2"/>
  <c r="L16" i="2"/>
  <c r="K16" i="2"/>
  <c r="I16" i="2"/>
  <c r="H16" i="2"/>
  <c r="G16" i="2"/>
  <c r="F16" i="2"/>
  <c r="E16" i="2"/>
  <c r="B16" i="2"/>
  <c r="S15" i="2"/>
  <c r="R15" i="2"/>
  <c r="P15" i="2"/>
  <c r="N15" i="2"/>
  <c r="M15" i="2"/>
  <c r="L15" i="2"/>
  <c r="K15" i="2"/>
  <c r="I15" i="2"/>
  <c r="H15" i="2"/>
  <c r="G15" i="2"/>
  <c r="F15" i="2"/>
  <c r="E15" i="2"/>
  <c r="B15" i="2"/>
  <c r="S14" i="2"/>
  <c r="R14" i="2"/>
  <c r="P14" i="2"/>
  <c r="N14" i="2"/>
  <c r="L14" i="2"/>
  <c r="K14" i="2"/>
  <c r="I14" i="2"/>
  <c r="H14" i="2"/>
  <c r="G14" i="2"/>
  <c r="F14" i="2"/>
  <c r="E14" i="2"/>
  <c r="B14" i="2"/>
  <c r="S13" i="2"/>
  <c r="R13" i="2"/>
  <c r="P13" i="2"/>
  <c r="N13" i="2"/>
  <c r="M13" i="2"/>
  <c r="L13" i="2"/>
  <c r="K13" i="2"/>
  <c r="I13" i="2"/>
  <c r="H13" i="2"/>
  <c r="G13" i="2"/>
  <c r="F13" i="2"/>
  <c r="E13" i="2"/>
  <c r="B13" i="2"/>
  <c r="S12" i="2"/>
  <c r="R12" i="2"/>
  <c r="P12" i="2"/>
  <c r="N12" i="2"/>
  <c r="M12" i="2"/>
  <c r="K12" i="2"/>
  <c r="I12" i="2"/>
  <c r="H12" i="2"/>
  <c r="G12" i="2"/>
  <c r="F12" i="2"/>
  <c r="E12" i="2"/>
  <c r="B12" i="2"/>
  <c r="S11" i="2"/>
  <c r="R11" i="2"/>
  <c r="P11" i="2"/>
  <c r="N11" i="2"/>
  <c r="M11" i="2"/>
  <c r="L11" i="2"/>
  <c r="I11" i="2"/>
  <c r="H11" i="2"/>
  <c r="G11" i="2"/>
  <c r="F11" i="2"/>
  <c r="E11" i="2"/>
  <c r="B11" i="2"/>
  <c r="S10" i="2"/>
  <c r="R10" i="2"/>
  <c r="Q10" i="2"/>
  <c r="P10" i="2"/>
  <c r="N10" i="2"/>
  <c r="M10" i="2"/>
  <c r="L10" i="2"/>
  <c r="K10" i="2"/>
  <c r="I10" i="2"/>
  <c r="H10" i="2"/>
  <c r="G10" i="2"/>
  <c r="F10" i="2"/>
  <c r="E10" i="2"/>
  <c r="B10" i="2"/>
  <c r="S9" i="2"/>
  <c r="R9" i="2"/>
  <c r="Q9" i="2"/>
  <c r="P9" i="2"/>
  <c r="N9" i="2"/>
  <c r="M9" i="2"/>
  <c r="L9" i="2"/>
  <c r="K9" i="2"/>
  <c r="J11" i="1"/>
  <c r="J9" i="2" s="1"/>
  <c r="I9" i="2"/>
  <c r="H9" i="2"/>
  <c r="G9" i="2"/>
  <c r="F9" i="2"/>
  <c r="E9" i="2"/>
  <c r="B9" i="2"/>
  <c r="S8" i="2"/>
  <c r="R8" i="2"/>
  <c r="Q8" i="2"/>
  <c r="P8" i="2"/>
  <c r="N8" i="2"/>
  <c r="M8" i="2"/>
  <c r="L8" i="2"/>
  <c r="K8" i="2"/>
  <c r="J10" i="1"/>
  <c r="J8" i="2" s="1"/>
  <c r="I8" i="2"/>
  <c r="H8" i="2"/>
  <c r="G8" i="2"/>
  <c r="F8" i="2"/>
  <c r="E8" i="2"/>
  <c r="B8" i="2"/>
  <c r="S7" i="2"/>
  <c r="R7" i="2"/>
  <c r="Q7" i="2"/>
  <c r="P7" i="2"/>
  <c r="N7" i="2"/>
  <c r="M7" i="2"/>
  <c r="L7" i="2"/>
  <c r="K7" i="2"/>
  <c r="J9" i="1"/>
  <c r="J7" i="2" s="1"/>
  <c r="I7" i="2"/>
  <c r="H7" i="2"/>
  <c r="G7" i="2"/>
  <c r="F7" i="2"/>
  <c r="E7" i="2"/>
  <c r="B7" i="2"/>
  <c r="S6" i="2"/>
  <c r="R6" i="2"/>
  <c r="Q6" i="2"/>
  <c r="P6" i="2"/>
  <c r="N6" i="2"/>
  <c r="M6" i="2"/>
  <c r="L6" i="2"/>
  <c r="K6" i="2"/>
  <c r="J8" i="1"/>
  <c r="J6" i="2" s="1"/>
  <c r="I6" i="2"/>
  <c r="H6" i="2"/>
  <c r="G6" i="2"/>
  <c r="F6" i="2"/>
  <c r="E6" i="2"/>
  <c r="C6" i="2"/>
  <c r="B6" i="2"/>
  <c r="S5" i="2"/>
  <c r="R5" i="2"/>
  <c r="Q5" i="2"/>
  <c r="P5" i="2"/>
  <c r="N5" i="2"/>
  <c r="M5" i="2"/>
  <c r="L5" i="2"/>
  <c r="K5" i="2"/>
  <c r="J7" i="1"/>
  <c r="J5" i="2" s="1"/>
  <c r="I5" i="2"/>
  <c r="H5" i="2"/>
  <c r="G5" i="2"/>
  <c r="F5" i="2"/>
  <c r="E5" i="2"/>
  <c r="C5" i="2"/>
  <c r="B5" i="2"/>
  <c r="S4" i="2"/>
  <c r="R4" i="2"/>
  <c r="Q4" i="2"/>
  <c r="P4" i="2"/>
  <c r="N4" i="2"/>
  <c r="M4" i="2"/>
  <c r="L4" i="2"/>
  <c r="K4" i="2"/>
  <c r="J6" i="1"/>
  <c r="J4" i="2" s="1"/>
  <c r="I4" i="2"/>
  <c r="H4" i="2"/>
  <c r="G4" i="2"/>
  <c r="F4" i="2"/>
  <c r="E4" i="2"/>
  <c r="C4" i="2"/>
  <c r="B4" i="2"/>
  <c r="S3" i="2"/>
  <c r="R3" i="2"/>
  <c r="Q3" i="2"/>
  <c r="P3" i="2"/>
  <c r="N3" i="2"/>
  <c r="M3" i="2"/>
  <c r="L3" i="2"/>
  <c r="K3" i="2"/>
  <c r="J5" i="1"/>
  <c r="J3" i="2" s="1"/>
  <c r="I3" i="2"/>
  <c r="H3" i="2"/>
  <c r="G3" i="2"/>
  <c r="F3" i="2"/>
  <c r="E3" i="2"/>
  <c r="C3" i="2"/>
  <c r="B3" i="2"/>
  <c r="S2" i="2"/>
  <c r="R2" i="2"/>
  <c r="Q2" i="2"/>
  <c r="P2" i="2"/>
  <c r="N2" i="2"/>
  <c r="M2" i="2"/>
  <c r="L2" i="2"/>
  <c r="K2" i="2"/>
  <c r="J4" i="1"/>
  <c r="J2" i="2" s="1"/>
  <c r="I2" i="2"/>
  <c r="H2" i="2"/>
  <c r="G2" i="2"/>
  <c r="F2" i="2"/>
  <c r="E2" i="2"/>
  <c r="C2" i="2"/>
  <c r="B2" i="2"/>
  <c r="A22" i="2"/>
  <c r="A21" i="2"/>
  <c r="A20" i="2"/>
  <c r="A19" i="2"/>
  <c r="A18" i="2"/>
  <c r="A17" i="2"/>
  <c r="A16" i="2"/>
  <c r="A15" i="2"/>
  <c r="A14" i="2"/>
  <c r="A13" i="2"/>
  <c r="A12" i="2"/>
  <c r="A11" i="2"/>
  <c r="A10" i="2"/>
  <c r="A9" i="2"/>
  <c r="A8" i="2"/>
  <c r="A7" i="2"/>
  <c r="A6" i="2"/>
  <c r="A5" i="2"/>
  <c r="A4" i="2"/>
  <c r="A3" i="2"/>
  <c r="A2" i="2"/>
  <c r="S1" i="2"/>
  <c r="R1" i="2"/>
  <c r="Q1" i="2"/>
  <c r="P1" i="2"/>
  <c r="O1" i="2"/>
  <c r="N1" i="2"/>
  <c r="M1" i="2"/>
  <c r="L1" i="2"/>
  <c r="K1" i="2"/>
  <c r="J1" i="2"/>
  <c r="I1" i="2"/>
  <c r="H1" i="2"/>
  <c r="G1" i="2"/>
  <c r="F1" i="2"/>
  <c r="E1" i="2"/>
  <c r="D1" i="2"/>
  <c r="C1" i="2"/>
  <c r="B1" i="2"/>
  <c r="Q13" i="1"/>
  <c r="J13" i="1" s="1"/>
  <c r="J11" i="2" s="1"/>
  <c r="Q15" i="1"/>
  <c r="O12" i="1"/>
  <c r="O10" i="2" s="1"/>
  <c r="O11" i="1"/>
  <c r="O9" i="2" s="1"/>
  <c r="O10" i="1"/>
  <c r="O8" i="2" s="1"/>
  <c r="O9" i="1"/>
  <c r="O7" i="2" s="1"/>
  <c r="O8" i="1"/>
  <c r="O6" i="2" s="1"/>
  <c r="O7" i="1"/>
  <c r="O5" i="2" s="1"/>
  <c r="O6" i="1"/>
  <c r="O4" i="2" s="1"/>
  <c r="O5" i="1"/>
  <c r="O3" i="2" s="1"/>
  <c r="O4" i="1"/>
  <c r="O2" i="2" s="1"/>
  <c r="D34" i="1"/>
  <c r="D33" i="1"/>
  <c r="D32" i="1"/>
  <c r="D31" i="1"/>
  <c r="D30" i="1"/>
  <c r="D29" i="1"/>
  <c r="D28" i="1"/>
  <c r="D27" i="1"/>
  <c r="D26" i="1"/>
  <c r="D25" i="1"/>
  <c r="D24" i="1"/>
  <c r="D22" i="2" s="1"/>
  <c r="D23" i="1"/>
  <c r="D21" i="2" s="1"/>
  <c r="D22" i="1"/>
  <c r="D20" i="2" s="1"/>
  <c r="D21" i="1"/>
  <c r="D19" i="2" s="1"/>
  <c r="D20" i="1"/>
  <c r="D18" i="2" s="1"/>
  <c r="D19" i="1"/>
  <c r="D17" i="2" s="1"/>
  <c r="D18" i="1"/>
  <c r="D16" i="2" s="1"/>
  <c r="D17" i="1"/>
  <c r="D15" i="2" s="1"/>
  <c r="D16" i="1"/>
  <c r="D14" i="2" s="1"/>
  <c r="D15" i="1"/>
  <c r="D13" i="2" s="1"/>
  <c r="D14" i="1"/>
  <c r="D12" i="2" s="1"/>
  <c r="D13" i="1"/>
  <c r="D11" i="2" s="1"/>
  <c r="D12" i="1"/>
  <c r="D10" i="2" s="1"/>
  <c r="D11" i="1"/>
  <c r="D9" i="2" s="1"/>
  <c r="D10" i="1"/>
  <c r="D8" i="2" s="1"/>
  <c r="D9" i="1"/>
  <c r="D7" i="2" s="1"/>
  <c r="D8" i="1"/>
  <c r="D6" i="2" s="1"/>
  <c r="D7" i="1"/>
  <c r="D5" i="2" s="1"/>
  <c r="D6" i="1"/>
  <c r="D4" i="2" s="1"/>
  <c r="D5" i="1"/>
  <c r="D3" i="2" s="1"/>
  <c r="D4" i="1"/>
  <c r="D2" i="2" s="1"/>
  <c r="C22" i="2"/>
  <c r="C21" i="2"/>
  <c r="C20" i="2"/>
  <c r="C19" i="2"/>
  <c r="C18" i="2"/>
  <c r="C17" i="2"/>
  <c r="C16" i="2"/>
  <c r="C15" i="2"/>
  <c r="C14" i="2"/>
  <c r="C13" i="2"/>
  <c r="C12" i="2"/>
  <c r="C13" i="1"/>
  <c r="C11" i="2" s="1"/>
  <c r="C12" i="1"/>
  <c r="C10" i="2" s="1"/>
  <c r="C11" i="1"/>
  <c r="C9" i="2" s="1"/>
  <c r="C10" i="1"/>
  <c r="C8" i="2" s="1"/>
  <c r="C9" i="1"/>
  <c r="C7" i="2" s="1"/>
  <c r="N18" i="1"/>
  <c r="N16" i="2" s="1"/>
  <c r="M16" i="1"/>
  <c r="M14" i="2" s="1"/>
  <c r="L12" i="2"/>
  <c r="K11" i="2"/>
  <c r="Q18" i="4" l="1"/>
  <c r="S17" i="4"/>
  <c r="N17" i="4"/>
  <c r="O13" i="1"/>
  <c r="O11" i="2" s="1"/>
  <c r="J15" i="1"/>
  <c r="J13" i="2" s="1"/>
  <c r="Q13" i="2"/>
  <c r="Q16" i="1"/>
  <c r="O15" i="1"/>
  <c r="O13" i="2" s="1"/>
  <c r="Q11" i="2"/>
  <c r="O14" i="1"/>
  <c r="O12" i="2" s="1"/>
  <c r="Q12" i="2"/>
  <c r="J14" i="1"/>
  <c r="J12" i="2" s="1"/>
  <c r="Q19" i="4" l="1"/>
  <c r="N18" i="4"/>
  <c r="S18" i="4"/>
  <c r="Q17" i="1"/>
  <c r="O16" i="1"/>
  <c r="O14" i="2" s="1"/>
  <c r="J16" i="1"/>
  <c r="J14" i="2" s="1"/>
  <c r="Q14" i="2"/>
  <c r="Q20" i="4" l="1"/>
  <c r="S19" i="4"/>
  <c r="N19" i="4"/>
  <c r="J17" i="1"/>
  <c r="J15" i="2" s="1"/>
  <c r="O17" i="1"/>
  <c r="O15" i="2" s="1"/>
  <c r="Q15" i="2"/>
  <c r="Q18" i="1"/>
  <c r="N20" i="4" l="1"/>
  <c r="Q21" i="4"/>
  <c r="S20" i="4"/>
  <c r="Q16" i="2"/>
  <c r="O18" i="1"/>
  <c r="O16" i="2" s="1"/>
  <c r="Q19" i="1"/>
  <c r="J18" i="1"/>
  <c r="J16" i="2" s="1"/>
  <c r="N21" i="4" l="1"/>
  <c r="Q22" i="4"/>
  <c r="S21" i="4"/>
  <c r="O19" i="1"/>
  <c r="O17" i="2" s="1"/>
  <c r="J19" i="1"/>
  <c r="J17" i="2" s="1"/>
  <c r="Q17" i="2"/>
  <c r="Q20" i="1"/>
  <c r="S22" i="4" l="1"/>
  <c r="N22" i="4"/>
  <c r="Q23" i="4"/>
  <c r="Q21" i="1"/>
  <c r="O20" i="1"/>
  <c r="O18" i="2" s="1"/>
  <c r="J20" i="1"/>
  <c r="J18" i="2" s="1"/>
  <c r="Q18" i="2"/>
  <c r="N23" i="4" l="1"/>
  <c r="Q24" i="4"/>
  <c r="S23" i="4"/>
  <c r="J21" i="1"/>
  <c r="J19" i="2" s="1"/>
  <c r="Q22" i="1"/>
  <c r="Q19" i="2"/>
  <c r="O21" i="1"/>
  <c r="O19" i="2" s="1"/>
  <c r="Q25" i="4" l="1"/>
  <c r="S24" i="4"/>
  <c r="N24" i="4"/>
  <c r="Q23" i="1"/>
  <c r="J22" i="1"/>
  <c r="J20" i="2" s="1"/>
  <c r="Q20" i="2"/>
  <c r="O22" i="1"/>
  <c r="O20" i="2" s="1"/>
  <c r="Q26" i="4" l="1"/>
  <c r="S25" i="4"/>
  <c r="J23" i="1"/>
  <c r="J21" i="2" s="1"/>
  <c r="Q21" i="2"/>
  <c r="Q24" i="1"/>
  <c r="O23" i="1"/>
  <c r="O21" i="2" s="1"/>
  <c r="S26" i="4" l="1"/>
  <c r="Q27" i="4"/>
  <c r="Q22" i="2"/>
  <c r="Q25" i="1"/>
  <c r="J24" i="1"/>
  <c r="J22" i="2" s="1"/>
  <c r="J25" i="2" s="1"/>
  <c r="O24" i="1"/>
  <c r="O22" i="2" s="1"/>
  <c r="Q28" i="4" l="1"/>
  <c r="S27" i="4"/>
  <c r="Q26" i="1"/>
  <c r="J25" i="1"/>
  <c r="Q29" i="4" l="1"/>
  <c r="S28" i="4"/>
  <c r="Q27" i="1"/>
  <c r="J26" i="1"/>
  <c r="Q30" i="4" l="1"/>
  <c r="Q31" i="4" s="1"/>
  <c r="Q32" i="4" s="1"/>
  <c r="Q33" i="4" s="1"/>
  <c r="Q34" i="4" s="1"/>
  <c r="Q35" i="4" s="1"/>
  <c r="Q36" i="4" s="1"/>
  <c r="Q37" i="4" s="1"/>
  <c r="Q38" i="4" s="1"/>
  <c r="Q39" i="4" s="1"/>
  <c r="Q40" i="4" s="1"/>
  <c r="Q41" i="4" s="1"/>
  <c r="Q42" i="4" s="1"/>
  <c r="Q43" i="4" s="1"/>
  <c r="Q44" i="4" s="1"/>
  <c r="S29" i="4"/>
  <c r="J27" i="1"/>
  <c r="Q28" i="1"/>
  <c r="J28" i="1" l="1"/>
  <c r="Q29" i="1"/>
  <c r="J29" i="1" l="1"/>
  <c r="Q30" i="1"/>
  <c r="Q31" i="1" s="1"/>
  <c r="Q32" i="1" s="1"/>
  <c r="Q33" i="1" s="1"/>
  <c r="Q34" i="1" s="1"/>
  <c r="Q35" i="1" s="1"/>
  <c r="Q36" i="1" s="1"/>
  <c r="Q37" i="1" s="1"/>
  <c r="Q38" i="1" s="1"/>
  <c r="Q39" i="1" s="1"/>
  <c r="Q40" i="1" s="1"/>
  <c r="Q41" i="1" s="1"/>
  <c r="Q42" i="1" s="1"/>
  <c r="Q43" i="1" s="1"/>
  <c r="Q44" i="1" s="1"/>
</calcChain>
</file>

<file path=xl/sharedStrings.xml><?xml version="1.0" encoding="utf-8"?>
<sst xmlns="http://schemas.openxmlformats.org/spreadsheetml/2006/main" count="230" uniqueCount="99">
  <si>
    <t>Figure 10.7 - Canadian Oil Export Pipeline Capacity and Oil Exports</t>
  </si>
  <si>
    <t>Enbridge Mainline</t>
  </si>
  <si>
    <t>Express</t>
  </si>
  <si>
    <t>Trans Mountain</t>
  </si>
  <si>
    <t>Keystone</t>
  </si>
  <si>
    <t>Rangeland/Milk River</t>
  </si>
  <si>
    <t>Implied Rail</t>
  </si>
  <si>
    <t>Enbridge Expansions</t>
  </si>
  <si>
    <t>Keystone XL</t>
  </si>
  <si>
    <t>Northern Gateway</t>
  </si>
  <si>
    <t>Energy East</t>
  </si>
  <si>
    <t>TM Ref Prod</t>
  </si>
  <si>
    <t>2014 CAPP Supply Raw</t>
  </si>
  <si>
    <t>Enbridge Bakken Volumes</t>
  </si>
  <si>
    <t>Date</t>
  </si>
  <si>
    <t>Me:</t>
  </si>
  <si>
    <t>Greg</t>
  </si>
  <si>
    <t>Enb</t>
  </si>
  <si>
    <t>Rockies</t>
  </si>
  <si>
    <t>TMX</t>
  </si>
  <si>
    <t>TM</t>
  </si>
  <si>
    <t>KM-Canada</t>
  </si>
  <si>
    <t>KXL</t>
  </si>
  <si>
    <t>Refineries</t>
  </si>
  <si>
    <t>Supply, no growth</t>
  </si>
  <si>
    <t>Supply (net refinery demand ex burnaby production, incl ref prod to BC)</t>
  </si>
  <si>
    <t>2018 CAPP Supply Raw</t>
  </si>
  <si>
    <t>CAPP 2018 Offtake</t>
  </si>
  <si>
    <t>NEB 2016 Offtake</t>
  </si>
  <si>
    <t>CAPP 2014 Offtake</t>
  </si>
  <si>
    <t>Western Refinery Runs Net Burnaby + NWR</t>
  </si>
  <si>
    <t>Trans Mountain Expansion</t>
  </si>
  <si>
    <t>CAPP 2019 Supply Raw</t>
  </si>
  <si>
    <t>CER 2019 Supply Available</t>
  </si>
  <si>
    <t>CER 2019 Mod</t>
  </si>
  <si>
    <t>CER 2020 Reference</t>
  </si>
  <si>
    <t>CER 2020 Evolving</t>
  </si>
  <si>
    <t xml:space="preserve">Figure ES.8: Crude oil pipeline capacity vs. total supply available for export, Evolving and Reference Scenarios </t>
  </si>
  <si>
    <t>MMb/d</t>
  </si>
  <si>
    <t>Total Supply Available for Export EVO</t>
  </si>
  <si>
    <t>Milk River</t>
  </si>
  <si>
    <t>Aurora/Rangeland</t>
  </si>
  <si>
    <t>TransMountain</t>
  </si>
  <si>
    <t>Enbridge Line 3 (2021)</t>
  </si>
  <si>
    <t>TMX (2023)</t>
  </si>
  <si>
    <t>Keystone XL (2023)</t>
  </si>
  <si>
    <t>Rail</t>
  </si>
  <si>
    <t>Total net rail and KXL</t>
  </si>
  <si>
    <t>Total Supply Available for Export REF</t>
  </si>
  <si>
    <t>Ref shortfall</t>
  </si>
  <si>
    <t>evolvinc shortfall</t>
  </si>
  <si>
    <t>Table R.1: Pipeline Capacity Assumptions for Figure R.14</t>
  </si>
  <si>
    <t>Name</t>
  </si>
  <si>
    <t>Takeaway Capacity (current or timing as noted) (Mb/d)</t>
  </si>
  <si>
    <t>Notes</t>
  </si>
  <si>
    <t>Stated capacity includes the fully completed Line 3 Replacement Project which adds 370 Mb/d of capacity to the Enbridge Mainline in late 2021.</t>
  </si>
  <si>
    <t>Capacity held fixed over the projection period. The cancelled Keystone XL project is not included in Figure R.14.</t>
  </si>
  <si>
    <t>Capacity is held fixed over the projection period. This capacity approximates the crude oil portion of capacity, by removing 50 Mb/d from the full capacity of Trans Mountain (350 Mb/d) to accommodate transportation of 50 mb/d of RPPs on the pipeline.</t>
  </si>
  <si>
    <t>The Trans Mountain Expansion Project adds capacity starting in December 2022, and increases to full capacity by the spring of 2023. As with the existing Trans Mountain system, full capacity of the Trans Mountain Expansion (590 Mb/d) is reduced to accommodate transportation of 50 Mb/d of RPPs.</t>
  </si>
  <si>
    <t>Capacity held fixed over the projection period.</t>
  </si>
  <si>
    <t>Structural Rail</t>
  </si>
  <si>
    <t>Capacity Increases to Existing Pipelines</t>
  </si>
  <si>
    <t>Includes announced optimizations to boost the capacity of existing pipelines. The capacity increases are reflected in 2021 to 2023.</t>
  </si>
  <si>
    <t>Total</t>
  </si>
  <si>
    <t>5 262</t>
  </si>
  <si>
    <t>cubic meters</t>
  </si>
  <si>
    <t>Figure ES.10: Illustrative Export Capacity from Pipelines and Structural Rail, vs. Total Crude Oil Supply Available from the Western Canadian Sedimentary Basin (WCSB), Evolving and Current Policies Scenarios</t>
  </si>
  <si>
    <t>Mb/d</t>
  </si>
  <si>
    <t>Table of Contents</t>
  </si>
  <si>
    <t>Total Supply Available for Export - Evolving Policies</t>
  </si>
  <si>
    <t>Total Supply Available for Export - Current Policies</t>
  </si>
  <si>
    <t>Total Pipeline and Structural Rail Capacity</t>
  </si>
  <si>
    <t>CER 2021 Evolving</t>
  </si>
  <si>
    <t>CER 2021 Current</t>
  </si>
  <si>
    <t>CER 2021 Total Capacity</t>
  </si>
  <si>
    <t>Figure R.33: Illustrative export capacity from pipelines and structural rail, crude oil pipeline capacity vs. total supply available for export, all scenarios</t>
  </si>
  <si>
    <t>Year</t>
  </si>
  <si>
    <t>Total Pipeline Capacity and Structural Rail</t>
  </si>
  <si>
    <t>Total Supply Available for Export - Current Measures</t>
  </si>
  <si>
    <t>Total Supply Available for Export - Global Net-zero</t>
  </si>
  <si>
    <t>Total Supply Available for Export - Canada Net-zero</t>
  </si>
  <si>
    <t>Unit</t>
  </si>
  <si>
    <t>Million barrels per day (MMb/d)</t>
  </si>
  <si>
    <t>Capacity assumptions</t>
  </si>
  <si>
    <t>Stated capacity includes the fully completed Line 3 Replacement Project which added 370 Mb/d of capacity to the Enbridge Mainline in late 2021.</t>
  </si>
  <si>
    <t>Capacity held fixed over the projection period. The cancelled Keystone XL project is not included in Figure R.33.</t>
  </si>
  <si>
    <t xml:space="preserve">Capacity is held fixed over the projection period. </t>
  </si>
  <si>
    <t xml:space="preserve">The Trans Mountain Expansion Project adds capacity starting in the first quarter of 2024 and increases to full capacity a few months later. This includes use of drag-reducing agents, which increase the capacity of the existing Trans Mountain line by 50 Mb/d. </t>
  </si>
  <si>
    <t>bbb/d</t>
  </si>
  <si>
    <t>m3</t>
  </si>
  <si>
    <t>Total existing</t>
  </si>
  <si>
    <t>NEB 2023 Total</t>
  </si>
  <si>
    <t>Diff</t>
  </si>
  <si>
    <t>International boundary at or near Haskett, Manitoba</t>
  </si>
  <si>
    <t>system</t>
  </si>
  <si>
    <t>CAPP 2018 Supply Raw</t>
  </si>
  <si>
    <t>CAPP 2014 Supply Raw</t>
  </si>
  <si>
    <t xml:space="preserve">Keystone XL </t>
  </si>
  <si>
    <t>S_P_2025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</si>
</sst>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000_);_(* \(#,##0.000\);_(* &quot;-&quot;??_);_(@_)"/>
  </numFmts>
  <fonts count="20" x14ac:knownFonts="1">
    <font>
      <sz val="11"/>
      <color theme="1"/>
      <name val="Calibri"/>
      <family val="2"/>
      <scheme val="minor"/>
    </font>
    <font>
      <u/>
      <sz val="11"/>
      <name val="Calibri"/>
      <family val="2"/>
      <scheme val="minor"/>
    </font>
    <font>
      <sz val="10"/>
      <name val="Arial"/>
      <family val="2"/>
    </font>
    <font>
      <sz val="11"/>
      <color theme="1"/>
      <name val="Calibri"/>
      <family val="2"/>
      <scheme val="minor"/>
    </font>
    <font>
      <b/>
      <sz val="11"/>
      <color theme="1"/>
      <name val="Arial"/>
      <family val="2"/>
    </font>
    <font>
      <sz val="11"/>
      <color theme="1"/>
      <name val="Arial"/>
      <family val="2"/>
    </font>
    <font>
      <sz val="9"/>
      <color theme="1"/>
      <name val="Arial"/>
      <family val="2"/>
    </font>
    <font>
      <b/>
      <sz val="11"/>
      <color theme="1"/>
      <name val="Calibri"/>
      <family val="2"/>
      <scheme val="minor"/>
    </font>
    <font>
      <b/>
      <sz val="13.5"/>
      <color theme="1"/>
      <name val="Calibri"/>
      <family val="2"/>
      <scheme val="minor"/>
    </font>
    <font>
      <u/>
      <sz val="11"/>
      <color theme="10"/>
      <name val="Calibri"/>
      <family val="2"/>
      <scheme val="minor"/>
    </font>
    <font>
      <b/>
      <sz val="11"/>
      <color theme="1"/>
      <name val="Calibri"/>
      <family val="2"/>
    </font>
    <font>
      <sz val="11"/>
      <color rgb="FF000000"/>
      <name val="Calibri"/>
      <family val="2"/>
      <scheme val="minor"/>
    </font>
    <font>
      <b/>
      <sz val="11"/>
      <color rgb="FF000000"/>
      <name val="Calibri"/>
      <family val="2"/>
      <charset val="1"/>
    </font>
    <font>
      <u/>
      <sz val="11"/>
      <color theme="10"/>
      <name val="Calibri"/>
      <family val="2"/>
    </font>
    <font>
      <b/>
      <sz val="11"/>
      <color rgb="FF000000"/>
      <name val="Calibri"/>
      <family val="2"/>
      <scheme val="minor"/>
    </font>
    <font>
      <b/>
      <sz val="9.5"/>
      <color rgb="FF000000"/>
      <name val="Arial"/>
      <family val="2"/>
    </font>
    <font>
      <sz val="9.5"/>
      <color rgb="FF000000"/>
      <name val="Arial"/>
      <family val="2"/>
    </font>
    <font>
      <sz val="6"/>
      <color rgb="FF000000"/>
      <name val="Segoe UI"/>
      <family val="2"/>
    </font>
    <font>
      <b/>
      <sz val="6"/>
      <color rgb="FF000000"/>
      <name val="Segoe UI"/>
      <family val="2"/>
    </font>
    <font>
      <b/>
      <sz val="10"/>
      <name val="Arial"/>
      <family val="2"/>
    </font>
  </fonts>
  <fills count="5">
    <fill>
      <patternFill patternType="none"/>
    </fill>
    <fill>
      <patternFill patternType="gray125"/>
    </fill>
    <fill>
      <patternFill patternType="solid">
        <fgColor rgb="FFFFFFFF"/>
        <bgColor indexed="64"/>
      </patternFill>
    </fill>
    <fill>
      <patternFill patternType="solid">
        <fgColor rgb="FFE1F6F2"/>
        <bgColor indexed="64"/>
      </patternFill>
    </fill>
    <fill>
      <patternFill patternType="solid">
        <fgColor rgb="FFF4F8F9"/>
        <bgColor indexed="64"/>
      </patternFill>
    </fill>
  </fills>
  <borders count="6">
    <border>
      <left/>
      <right/>
      <top/>
      <bottom/>
      <diagonal/>
    </border>
    <border>
      <left style="medium">
        <color rgb="FF939597"/>
      </left>
      <right style="medium">
        <color rgb="FF939597"/>
      </right>
      <top style="medium">
        <color rgb="FF939597"/>
      </top>
      <bottom style="medium">
        <color rgb="FF939597"/>
      </bottom>
      <diagonal/>
    </border>
    <border>
      <left/>
      <right style="medium">
        <color rgb="FF939597"/>
      </right>
      <top style="medium">
        <color rgb="FF939597"/>
      </top>
      <bottom style="medium">
        <color rgb="FF939597"/>
      </bottom>
      <diagonal/>
    </border>
    <border>
      <left style="medium">
        <color rgb="FF939597"/>
      </left>
      <right style="medium">
        <color rgb="FF939597"/>
      </right>
      <top/>
      <bottom style="medium">
        <color rgb="FF939597"/>
      </bottom>
      <diagonal/>
    </border>
    <border>
      <left/>
      <right style="medium">
        <color rgb="FF939597"/>
      </right>
      <top/>
      <bottom style="medium">
        <color rgb="FF939597"/>
      </bottom>
      <diagonal/>
    </border>
    <border>
      <left/>
      <right style="medium">
        <color rgb="FFD6DADC"/>
      </right>
      <top/>
      <bottom style="medium">
        <color rgb="FFD6DADC"/>
      </bottom>
      <diagonal/>
    </border>
  </borders>
  <cellStyleXfs count="5">
    <xf numFmtId="0" fontId="0" fillId="0" borderId="0"/>
    <xf numFmtId="0" fontId="2" fillId="0" borderId="0"/>
    <xf numFmtId="164" fontId="3" fillId="0" borderId="0" applyFont="0" applyFill="0" applyBorder="0" applyAlignment="0" applyProtection="0"/>
    <xf numFmtId="0" fontId="9" fillId="0" borderId="0" applyNumberFormat="0" applyFill="0" applyBorder="0" applyAlignment="0" applyProtection="0"/>
    <xf numFmtId="0" fontId="11" fillId="0" borderId="0"/>
  </cellStyleXfs>
  <cellXfs count="44">
    <xf numFmtId="0" fontId="0" fillId="0" borderId="0" xfId="0"/>
    <xf numFmtId="0" fontId="1" fillId="0" borderId="0" xfId="0" applyFont="1" applyAlignment="1">
      <alignment vertical="center"/>
    </xf>
    <xf numFmtId="0" fontId="2" fillId="0" borderId="0" xfId="1"/>
    <xf numFmtId="0" fontId="2" fillId="0" borderId="0" xfId="1" applyFill="1"/>
    <xf numFmtId="1" fontId="0" fillId="0" borderId="0" xfId="0" applyNumberFormat="1"/>
    <xf numFmtId="0" fontId="0" fillId="2" borderId="0" xfId="0" applyFill="1"/>
    <xf numFmtId="0" fontId="0" fillId="0" borderId="0" xfId="0" applyAlignment="1">
      <alignment wrapText="1"/>
    </xf>
    <xf numFmtId="1" fontId="0" fillId="0" borderId="0" xfId="0" applyNumberFormat="1" applyAlignment="1">
      <alignment wrapText="1"/>
    </xf>
    <xf numFmtId="0" fontId="2" fillId="0" borderId="0" xfId="1" applyAlignment="1">
      <alignment wrapText="1"/>
    </xf>
    <xf numFmtId="0" fontId="2" fillId="0" borderId="0" xfId="1" applyFill="1" applyAlignment="1">
      <alignment wrapText="1"/>
    </xf>
    <xf numFmtId="0" fontId="4" fillId="0" borderId="0" xfId="0" applyFont="1" applyAlignment="1">
      <alignment vertical="center"/>
    </xf>
    <xf numFmtId="0" fontId="5" fillId="0" borderId="0" xfId="0" applyFont="1"/>
    <xf numFmtId="0" fontId="6" fillId="0" borderId="0" xfId="0" applyFont="1" applyAlignment="1">
      <alignment vertical="center"/>
    </xf>
    <xf numFmtId="164" fontId="5" fillId="0" borderId="0" xfId="2" applyFont="1"/>
    <xf numFmtId="165" fontId="5" fillId="0" borderId="0" xfId="2" applyNumberFormat="1" applyFont="1"/>
    <xf numFmtId="165" fontId="5" fillId="0" borderId="0" xfId="0" applyNumberFormat="1" applyFont="1"/>
    <xf numFmtId="164" fontId="5" fillId="0" borderId="0" xfId="0" applyNumberFormat="1" applyFont="1"/>
    <xf numFmtId="0" fontId="8" fillId="0" borderId="0" xfId="0" applyFont="1" applyAlignment="1">
      <alignment vertical="center"/>
    </xf>
    <xf numFmtId="0" fontId="7"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10" fillId="0" borderId="0" xfId="0" applyFont="1" applyAlignment="1">
      <alignment vertical="center"/>
    </xf>
    <xf numFmtId="0" fontId="9" fillId="0" borderId="0" xfId="3"/>
    <xf numFmtId="0" fontId="7" fillId="0" borderId="0" xfId="0" applyFont="1" applyAlignment="1">
      <alignment horizontal="center"/>
    </xf>
    <xf numFmtId="0" fontId="12" fillId="0" borderId="0" xfId="4" applyFont="1"/>
    <xf numFmtId="0" fontId="11" fillId="0" borderId="0" xfId="4"/>
    <xf numFmtId="0" fontId="13" fillId="0" borderId="0" xfId="4" applyFont="1"/>
    <xf numFmtId="0" fontId="14" fillId="0" borderId="0" xfId="4" applyFont="1"/>
    <xf numFmtId="2" fontId="11" fillId="0" borderId="0" xfId="4" applyNumberFormat="1"/>
    <xf numFmtId="3" fontId="11" fillId="0" borderId="0" xfId="4" applyNumberFormat="1"/>
    <xf numFmtId="0" fontId="15" fillId="3" borderId="1" xfId="0" applyFont="1" applyFill="1" applyBorder="1" applyAlignment="1">
      <alignment vertical="center" wrapText="1"/>
    </xf>
    <xf numFmtId="0" fontId="15" fillId="3" borderId="2" xfId="0" applyFont="1" applyFill="1" applyBorder="1" applyAlignment="1">
      <alignment vertical="center" wrapText="1"/>
    </xf>
    <xf numFmtId="0" fontId="16" fillId="0" borderId="3" xfId="0" applyFont="1" applyBorder="1" applyAlignment="1">
      <alignment vertical="center" wrapText="1"/>
    </xf>
    <xf numFmtId="3" fontId="16" fillId="0" borderId="4" xfId="0" applyNumberFormat="1" applyFont="1" applyBorder="1" applyAlignment="1">
      <alignment vertical="center" wrapText="1"/>
    </xf>
    <xf numFmtId="0" fontId="16" fillId="0" borderId="4" xfId="0" applyFont="1" applyBorder="1" applyAlignment="1">
      <alignment vertical="center" wrapText="1"/>
    </xf>
    <xf numFmtId="0" fontId="17" fillId="2" borderId="5" xfId="0" applyFont="1" applyFill="1" applyBorder="1" applyAlignment="1">
      <alignment horizontal="right" vertical="center"/>
    </xf>
    <xf numFmtId="0" fontId="18" fillId="4" borderId="5" xfId="0" applyFont="1" applyFill="1" applyBorder="1" applyAlignment="1">
      <alignment horizontal="right" vertical="center"/>
    </xf>
    <xf numFmtId="0" fontId="17" fillId="2" borderId="5" xfId="0" applyFont="1" applyFill="1" applyBorder="1" applyAlignment="1">
      <alignment vertical="center"/>
    </xf>
    <xf numFmtId="0" fontId="7" fillId="0" borderId="0" xfId="0" applyFont="1"/>
    <xf numFmtId="1" fontId="7" fillId="0" borderId="0" xfId="0" applyNumberFormat="1" applyFont="1"/>
    <xf numFmtId="0" fontId="19" fillId="0" borderId="0" xfId="1" applyFont="1"/>
    <xf numFmtId="0" fontId="19" fillId="0" borderId="0" xfId="1" applyFont="1" applyFill="1"/>
    <xf numFmtId="1" fontId="0" fillId="0" borderId="0" xfId="0" applyNumberFormat="1" applyAlignment="1">
      <alignment horizontal="center" wrapText="1"/>
    </xf>
    <xf numFmtId="1" fontId="0" fillId="0" borderId="0" xfId="0" applyNumberFormat="1" applyAlignment="1">
      <alignment horizontal="center"/>
    </xf>
  </cellXfs>
  <cellStyles count="5">
    <cellStyle name="Comma 2" xfId="2"/>
    <cellStyle name="Hyperlink" xfId="3" builtinId="8"/>
    <cellStyle name="Normal" xfId="0" builtinId="0"/>
    <cellStyle name="Normal 2" xfId="1"/>
    <cellStyle name="Normal 3" xfId="4"/>
  </cellStyles>
  <dxfs count="0"/>
  <tableStyles count="0" defaultTableStyle="TableStyleMedium2" defaultPivotStyle="PivotStyleLight16"/>
  <colors>
    <mruColors>
      <color rgb="FF4E2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Western Canadian Pipeline Capacity and Forecast</a:t>
            </a:r>
            <a:r>
              <a:rPr lang="en-US" baseline="0"/>
              <a:t> </a:t>
            </a:r>
            <a:r>
              <a:rPr lang="en-US"/>
              <a:t>Offtake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752161009608954E-2"/>
          <c:y val="0.1024585635359116"/>
          <c:w val="0.92196211593953326"/>
          <c:h val="0.57206051246356637"/>
        </c:manualLayout>
      </c:layout>
      <c:areaChart>
        <c:grouping val="stacked"/>
        <c:varyColors val="0"/>
        <c:ser>
          <c:idx val="0"/>
          <c:order val="0"/>
          <c:tx>
            <c:strRef>
              <c:f>'10.7'!$B$3</c:f>
              <c:strCache>
                <c:ptCount val="1"/>
                <c:pt idx="0">
                  <c:v>Enbridge Mainline</c:v>
                </c:pt>
              </c:strCache>
            </c:strRef>
          </c:tx>
          <c:spPr>
            <a:solidFill>
              <a:schemeClr val="accent1"/>
            </a:solidFill>
            <a:ln>
              <a:noFill/>
            </a:ln>
            <a:effectLst/>
          </c:spPr>
          <c:cat>
            <c:numRef>
              <c:f>'10.7'!$A$4:$A$34</c:f>
              <c:numCache>
                <c:formatCode>General</c:formatCode>
                <c:ptCount val="3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numCache>
            </c:numRef>
          </c:cat>
          <c:val>
            <c:numRef>
              <c:f>'10.7'!$B$4:$B$34</c:f>
              <c:numCache>
                <c:formatCode>0</c:formatCode>
                <c:ptCount val="31"/>
                <c:pt idx="0">
                  <c:v>327</c:v>
                </c:pt>
                <c:pt idx="1">
                  <c:v>361</c:v>
                </c:pt>
                <c:pt idx="2">
                  <c:v>361</c:v>
                </c:pt>
                <c:pt idx="3">
                  <c:v>350</c:v>
                </c:pt>
                <c:pt idx="4">
                  <c:v>383</c:v>
                </c:pt>
                <c:pt idx="5">
                  <c:v>441</c:v>
                </c:pt>
                <c:pt idx="6">
                  <c:v>450</c:v>
                </c:pt>
                <c:pt idx="7">
                  <c:v>457</c:v>
                </c:pt>
                <c:pt idx="8">
                  <c:v>457</c:v>
                </c:pt>
                <c:pt idx="9">
                  <c:v>457</c:v>
                </c:pt>
                <c:pt idx="10">
                  <c:v>457</c:v>
                </c:pt>
                <c:pt idx="11">
                  <c:v>474</c:v>
                </c:pt>
                <c:pt idx="12">
                  <c:v>474</c:v>
                </c:pt>
                <c:pt idx="13">
                  <c:v>474</c:v>
                </c:pt>
                <c:pt idx="14">
                  <c:v>474</c:v>
                </c:pt>
                <c:pt idx="15">
                  <c:v>474</c:v>
                </c:pt>
                <c:pt idx="16">
                  <c:v>474</c:v>
                </c:pt>
                <c:pt idx="17">
                  <c:v>474</c:v>
                </c:pt>
                <c:pt idx="18">
                  <c:v>474</c:v>
                </c:pt>
                <c:pt idx="19">
                  <c:v>474</c:v>
                </c:pt>
                <c:pt idx="20">
                  <c:v>474</c:v>
                </c:pt>
                <c:pt idx="21">
                  <c:v>474</c:v>
                </c:pt>
                <c:pt idx="22">
                  <c:v>474</c:v>
                </c:pt>
                <c:pt idx="23">
                  <c:v>474</c:v>
                </c:pt>
                <c:pt idx="24">
                  <c:v>474</c:v>
                </c:pt>
                <c:pt idx="25">
                  <c:v>474</c:v>
                </c:pt>
                <c:pt idx="26">
                  <c:v>474</c:v>
                </c:pt>
                <c:pt idx="27">
                  <c:v>474</c:v>
                </c:pt>
                <c:pt idx="28">
                  <c:v>474</c:v>
                </c:pt>
                <c:pt idx="29">
                  <c:v>474</c:v>
                </c:pt>
                <c:pt idx="30">
                  <c:v>474</c:v>
                </c:pt>
              </c:numCache>
            </c:numRef>
          </c:val>
          <c:extLst>
            <c:ext xmlns:c16="http://schemas.microsoft.com/office/drawing/2014/chart" uri="{C3380CC4-5D6E-409C-BE32-E72D297353CC}">
              <c16:uniqueId val="{00000000-77FB-2047-A89F-7DC82A4935A6}"/>
            </c:ext>
          </c:extLst>
        </c:ser>
        <c:ser>
          <c:idx val="1"/>
          <c:order val="1"/>
          <c:tx>
            <c:strRef>
              <c:f>'10.7'!$C$3</c:f>
              <c:strCache>
                <c:ptCount val="1"/>
                <c:pt idx="0">
                  <c:v>Express</c:v>
                </c:pt>
              </c:strCache>
            </c:strRef>
          </c:tx>
          <c:spPr>
            <a:solidFill>
              <a:srgbClr val="0070C0"/>
            </a:solidFill>
            <a:ln>
              <a:noFill/>
            </a:ln>
            <a:effectLst/>
          </c:spPr>
          <c:cat>
            <c:numRef>
              <c:f>'10.7'!$A$4:$A$34</c:f>
              <c:numCache>
                <c:formatCode>General</c:formatCode>
                <c:ptCount val="3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numCache>
            </c:numRef>
          </c:cat>
          <c:val>
            <c:numRef>
              <c:f>'10.7'!$C$4:$C$34</c:f>
              <c:numCache>
                <c:formatCode>0</c:formatCode>
                <c:ptCount val="31"/>
                <c:pt idx="0">
                  <c:v>32</c:v>
                </c:pt>
                <c:pt idx="1">
                  <c:v>28</c:v>
                </c:pt>
                <c:pt idx="2">
                  <c:v>30</c:v>
                </c:pt>
                <c:pt idx="3">
                  <c:v>32</c:v>
                </c:pt>
                <c:pt idx="4">
                  <c:v>31</c:v>
                </c:pt>
                <c:pt idx="5">
                  <c:v>44.494589140142061</c:v>
                </c:pt>
                <c:pt idx="6">
                  <c:v>44.494589140142061</c:v>
                </c:pt>
                <c:pt idx="7">
                  <c:v>44.494589140142061</c:v>
                </c:pt>
                <c:pt idx="8">
                  <c:v>44.494589140142061</c:v>
                </c:pt>
                <c:pt idx="9">
                  <c:v>44.494589140142061</c:v>
                </c:pt>
                <c:pt idx="10">
                  <c:v>50.850959017305215</c:v>
                </c:pt>
                <c:pt idx="11">
                  <c:v>50.850959017305215</c:v>
                </c:pt>
                <c:pt idx="12">
                  <c:v>50.850959017305215</c:v>
                </c:pt>
                <c:pt idx="13">
                  <c:v>50.850959017305215</c:v>
                </c:pt>
                <c:pt idx="14">
                  <c:v>50.850959017305215</c:v>
                </c:pt>
                <c:pt idx="15">
                  <c:v>50.850959017305215</c:v>
                </c:pt>
                <c:pt idx="16">
                  <c:v>50.850959017305215</c:v>
                </c:pt>
                <c:pt idx="17">
                  <c:v>50.850959017305215</c:v>
                </c:pt>
                <c:pt idx="18">
                  <c:v>50.850959017305215</c:v>
                </c:pt>
                <c:pt idx="19">
                  <c:v>50.850959017305215</c:v>
                </c:pt>
                <c:pt idx="20">
                  <c:v>50.850959017305215</c:v>
                </c:pt>
                <c:pt idx="21">
                  <c:v>50.850959017305215</c:v>
                </c:pt>
                <c:pt idx="22">
                  <c:v>50.850959017305215</c:v>
                </c:pt>
                <c:pt idx="23">
                  <c:v>50.850959017305215</c:v>
                </c:pt>
                <c:pt idx="24">
                  <c:v>50.850959017305215</c:v>
                </c:pt>
                <c:pt idx="25">
                  <c:v>50.850959017305215</c:v>
                </c:pt>
                <c:pt idx="26">
                  <c:v>50.850959017305215</c:v>
                </c:pt>
                <c:pt idx="27">
                  <c:v>50.850959017305215</c:v>
                </c:pt>
                <c:pt idx="28">
                  <c:v>50.850959017305215</c:v>
                </c:pt>
                <c:pt idx="29">
                  <c:v>50.850959017305215</c:v>
                </c:pt>
                <c:pt idx="30">
                  <c:v>50.850959017305215</c:v>
                </c:pt>
              </c:numCache>
            </c:numRef>
          </c:val>
          <c:extLst>
            <c:ext xmlns:c16="http://schemas.microsoft.com/office/drawing/2014/chart" uri="{C3380CC4-5D6E-409C-BE32-E72D297353CC}">
              <c16:uniqueId val="{00000001-77FB-2047-A89F-7DC82A4935A6}"/>
            </c:ext>
          </c:extLst>
        </c:ser>
        <c:ser>
          <c:idx val="2"/>
          <c:order val="2"/>
          <c:tx>
            <c:strRef>
              <c:f>'10.7'!$D$3</c:f>
              <c:strCache>
                <c:ptCount val="1"/>
                <c:pt idx="0">
                  <c:v>Trans Mountain</c:v>
                </c:pt>
              </c:strCache>
            </c:strRef>
          </c:tx>
          <c:spPr>
            <a:solidFill>
              <a:srgbClr val="002060"/>
            </a:solidFill>
            <a:ln>
              <a:noFill/>
            </a:ln>
            <a:effectLst/>
          </c:spPr>
          <c:cat>
            <c:numRef>
              <c:f>'10.7'!$A$4:$A$34</c:f>
              <c:numCache>
                <c:formatCode>General</c:formatCode>
                <c:ptCount val="3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numCache>
            </c:numRef>
          </c:cat>
          <c:val>
            <c:numRef>
              <c:f>'10.7'!$D$4:$D$34</c:f>
              <c:numCache>
                <c:formatCode>0</c:formatCode>
                <c:ptCount val="31"/>
                <c:pt idx="0">
                  <c:v>41.5</c:v>
                </c:pt>
                <c:pt idx="1">
                  <c:v>41.5</c:v>
                </c:pt>
                <c:pt idx="2">
                  <c:v>41.5</c:v>
                </c:pt>
                <c:pt idx="3">
                  <c:v>41.5</c:v>
                </c:pt>
                <c:pt idx="4">
                  <c:v>41.5</c:v>
                </c:pt>
                <c:pt idx="5">
                  <c:v>41.5</c:v>
                </c:pt>
                <c:pt idx="6">
                  <c:v>41.5</c:v>
                </c:pt>
                <c:pt idx="7">
                  <c:v>41.5</c:v>
                </c:pt>
                <c:pt idx="8">
                  <c:v>41.5</c:v>
                </c:pt>
                <c:pt idx="9">
                  <c:v>41.5</c:v>
                </c:pt>
                <c:pt idx="10">
                  <c:v>41.5</c:v>
                </c:pt>
                <c:pt idx="11">
                  <c:v>41.5</c:v>
                </c:pt>
                <c:pt idx="12">
                  <c:v>41.5</c:v>
                </c:pt>
                <c:pt idx="13">
                  <c:v>41.5</c:v>
                </c:pt>
                <c:pt idx="14">
                  <c:v>41.5</c:v>
                </c:pt>
                <c:pt idx="15">
                  <c:v>41.5</c:v>
                </c:pt>
                <c:pt idx="16">
                  <c:v>41.5</c:v>
                </c:pt>
                <c:pt idx="17">
                  <c:v>41.5</c:v>
                </c:pt>
                <c:pt idx="18">
                  <c:v>41.5</c:v>
                </c:pt>
                <c:pt idx="19">
                  <c:v>41.5</c:v>
                </c:pt>
                <c:pt idx="20">
                  <c:v>41.5</c:v>
                </c:pt>
                <c:pt idx="21">
                  <c:v>41.5</c:v>
                </c:pt>
                <c:pt idx="22">
                  <c:v>41.5</c:v>
                </c:pt>
                <c:pt idx="23">
                  <c:v>41.5</c:v>
                </c:pt>
                <c:pt idx="24">
                  <c:v>41.5</c:v>
                </c:pt>
                <c:pt idx="25">
                  <c:v>41.5</c:v>
                </c:pt>
                <c:pt idx="26">
                  <c:v>41.5</c:v>
                </c:pt>
                <c:pt idx="27">
                  <c:v>41.5</c:v>
                </c:pt>
                <c:pt idx="28">
                  <c:v>41.5</c:v>
                </c:pt>
                <c:pt idx="29">
                  <c:v>41.5</c:v>
                </c:pt>
                <c:pt idx="30">
                  <c:v>41.5</c:v>
                </c:pt>
              </c:numCache>
            </c:numRef>
          </c:val>
          <c:extLst>
            <c:ext xmlns:c16="http://schemas.microsoft.com/office/drawing/2014/chart" uri="{C3380CC4-5D6E-409C-BE32-E72D297353CC}">
              <c16:uniqueId val="{00000002-77FB-2047-A89F-7DC82A4935A6}"/>
            </c:ext>
          </c:extLst>
        </c:ser>
        <c:ser>
          <c:idx val="3"/>
          <c:order val="3"/>
          <c:tx>
            <c:strRef>
              <c:f>'10.7'!$E$3</c:f>
              <c:strCache>
                <c:ptCount val="1"/>
                <c:pt idx="0">
                  <c:v>Keystone</c:v>
                </c:pt>
              </c:strCache>
            </c:strRef>
          </c:tx>
          <c:spPr>
            <a:solidFill>
              <a:srgbClr val="4E2CFF"/>
            </a:solidFill>
            <a:ln>
              <a:noFill/>
            </a:ln>
            <a:effectLst/>
          </c:spPr>
          <c:cat>
            <c:numRef>
              <c:f>'10.7'!$A$4:$A$34</c:f>
              <c:numCache>
                <c:formatCode>General</c:formatCode>
                <c:ptCount val="3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numCache>
            </c:numRef>
          </c:cat>
          <c:val>
            <c:numRef>
              <c:f>'10.7'!$E$4:$E$34</c:f>
              <c:numCache>
                <c:formatCode>0</c:formatCode>
                <c:ptCount val="31"/>
                <c:pt idx="0">
                  <c:v>17</c:v>
                </c:pt>
                <c:pt idx="1">
                  <c:v>56</c:v>
                </c:pt>
                <c:pt idx="2">
                  <c:v>74</c:v>
                </c:pt>
                <c:pt idx="3">
                  <c:v>79</c:v>
                </c:pt>
                <c:pt idx="4">
                  <c:v>82</c:v>
                </c:pt>
                <c:pt idx="5">
                  <c:v>95</c:v>
                </c:pt>
                <c:pt idx="6">
                  <c:v>95</c:v>
                </c:pt>
                <c:pt idx="7">
                  <c:v>95</c:v>
                </c:pt>
                <c:pt idx="8">
                  <c:v>95</c:v>
                </c:pt>
                <c:pt idx="9">
                  <c:v>95</c:v>
                </c:pt>
                <c:pt idx="10">
                  <c:v>95</c:v>
                </c:pt>
                <c:pt idx="11">
                  <c:v>104</c:v>
                </c:pt>
                <c:pt idx="12">
                  <c:v>104</c:v>
                </c:pt>
                <c:pt idx="13">
                  <c:v>104</c:v>
                </c:pt>
                <c:pt idx="14">
                  <c:v>104</c:v>
                </c:pt>
                <c:pt idx="15">
                  <c:v>104</c:v>
                </c:pt>
                <c:pt idx="16">
                  <c:v>104</c:v>
                </c:pt>
                <c:pt idx="17">
                  <c:v>104</c:v>
                </c:pt>
                <c:pt idx="18">
                  <c:v>104</c:v>
                </c:pt>
                <c:pt idx="19">
                  <c:v>104</c:v>
                </c:pt>
                <c:pt idx="20">
                  <c:v>104</c:v>
                </c:pt>
                <c:pt idx="21">
                  <c:v>104</c:v>
                </c:pt>
                <c:pt idx="22">
                  <c:v>104</c:v>
                </c:pt>
                <c:pt idx="23">
                  <c:v>104</c:v>
                </c:pt>
                <c:pt idx="24">
                  <c:v>104</c:v>
                </c:pt>
                <c:pt idx="25">
                  <c:v>104</c:v>
                </c:pt>
                <c:pt idx="26">
                  <c:v>104</c:v>
                </c:pt>
                <c:pt idx="27">
                  <c:v>104</c:v>
                </c:pt>
                <c:pt idx="28">
                  <c:v>104</c:v>
                </c:pt>
                <c:pt idx="29">
                  <c:v>104</c:v>
                </c:pt>
                <c:pt idx="30">
                  <c:v>104</c:v>
                </c:pt>
              </c:numCache>
            </c:numRef>
          </c:val>
          <c:extLst>
            <c:ext xmlns:c16="http://schemas.microsoft.com/office/drawing/2014/chart" uri="{C3380CC4-5D6E-409C-BE32-E72D297353CC}">
              <c16:uniqueId val="{00000003-77FB-2047-A89F-7DC82A4935A6}"/>
            </c:ext>
          </c:extLst>
        </c:ser>
        <c:ser>
          <c:idx val="4"/>
          <c:order val="4"/>
          <c:tx>
            <c:strRef>
              <c:f>'10.7'!$F$3</c:f>
              <c:strCache>
                <c:ptCount val="1"/>
                <c:pt idx="0">
                  <c:v>Rangeland/Milk River</c:v>
                </c:pt>
              </c:strCache>
            </c:strRef>
          </c:tx>
          <c:spPr>
            <a:solidFill>
              <a:schemeClr val="accent5"/>
            </a:solidFill>
            <a:ln>
              <a:noFill/>
            </a:ln>
            <a:effectLst/>
          </c:spPr>
          <c:cat>
            <c:numRef>
              <c:f>'10.7'!$A$4:$A$34</c:f>
              <c:numCache>
                <c:formatCode>General</c:formatCode>
                <c:ptCount val="3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numCache>
            </c:numRef>
          </c:cat>
          <c:val>
            <c:numRef>
              <c:f>'10.7'!$F$4:$F$34</c:f>
              <c:numCache>
                <c:formatCode>0</c:formatCode>
                <c:ptCount val="31"/>
                <c:pt idx="0">
                  <c:v>16</c:v>
                </c:pt>
                <c:pt idx="1">
                  <c:v>17</c:v>
                </c:pt>
                <c:pt idx="2">
                  <c:v>15</c:v>
                </c:pt>
                <c:pt idx="3">
                  <c:v>15</c:v>
                </c:pt>
                <c:pt idx="4">
                  <c:v>16</c:v>
                </c:pt>
                <c:pt idx="5">
                  <c:v>16</c:v>
                </c:pt>
                <c:pt idx="6">
                  <c:v>16</c:v>
                </c:pt>
                <c:pt idx="7">
                  <c:v>16</c:v>
                </c:pt>
                <c:pt idx="8">
                  <c:v>16</c:v>
                </c:pt>
                <c:pt idx="9">
                  <c:v>16</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numCache>
            </c:numRef>
          </c:val>
          <c:extLst>
            <c:ext xmlns:c16="http://schemas.microsoft.com/office/drawing/2014/chart" uri="{C3380CC4-5D6E-409C-BE32-E72D297353CC}">
              <c16:uniqueId val="{00000004-77FB-2047-A89F-7DC82A4935A6}"/>
            </c:ext>
          </c:extLst>
        </c:ser>
        <c:ser>
          <c:idx val="5"/>
          <c:order val="5"/>
          <c:tx>
            <c:strRef>
              <c:f>'10.7'!$I$3</c:f>
              <c:strCache>
                <c:ptCount val="1"/>
                <c:pt idx="0">
                  <c:v>Enbridge Expansions</c:v>
                </c:pt>
              </c:strCache>
            </c:strRef>
          </c:tx>
          <c:spPr>
            <a:solidFill>
              <a:schemeClr val="accent6"/>
            </a:solidFill>
            <a:ln w="25400">
              <a:noFill/>
            </a:ln>
            <a:effectLst/>
          </c:spPr>
          <c:val>
            <c:numRef>
              <c:f>'10.7'!$I$4:$I$34</c:f>
              <c:numCache>
                <c:formatCode>0</c:formatCode>
                <c:ptCount val="31"/>
                <c:pt idx="0">
                  <c:v>0</c:v>
                </c:pt>
                <c:pt idx="1">
                  <c:v>0</c:v>
                </c:pt>
                <c:pt idx="2">
                  <c:v>0</c:v>
                </c:pt>
                <c:pt idx="3">
                  <c:v>0</c:v>
                </c:pt>
                <c:pt idx="4">
                  <c:v>0</c:v>
                </c:pt>
                <c:pt idx="5">
                  <c:v>0</c:v>
                </c:pt>
                <c:pt idx="6">
                  <c:v>0</c:v>
                </c:pt>
                <c:pt idx="7">
                  <c:v>0</c:v>
                </c:pt>
                <c:pt idx="8">
                  <c:v>0</c:v>
                </c:pt>
                <c:pt idx="9">
                  <c:v>58</c:v>
                </c:pt>
                <c:pt idx="10">
                  <c:v>58</c:v>
                </c:pt>
                <c:pt idx="11">
                  <c:v>58</c:v>
                </c:pt>
                <c:pt idx="12">
                  <c:v>58</c:v>
                </c:pt>
                <c:pt idx="13">
                  <c:v>58</c:v>
                </c:pt>
                <c:pt idx="14">
                  <c:v>58</c:v>
                </c:pt>
                <c:pt idx="15">
                  <c:v>58</c:v>
                </c:pt>
                <c:pt idx="16">
                  <c:v>58</c:v>
                </c:pt>
                <c:pt idx="17">
                  <c:v>58</c:v>
                </c:pt>
                <c:pt idx="18">
                  <c:v>58</c:v>
                </c:pt>
                <c:pt idx="19">
                  <c:v>58</c:v>
                </c:pt>
                <c:pt idx="20">
                  <c:v>58</c:v>
                </c:pt>
                <c:pt idx="21">
                  <c:v>58</c:v>
                </c:pt>
                <c:pt idx="22">
                  <c:v>58</c:v>
                </c:pt>
                <c:pt idx="23">
                  <c:v>58</c:v>
                </c:pt>
                <c:pt idx="24">
                  <c:v>58</c:v>
                </c:pt>
                <c:pt idx="25">
                  <c:v>58</c:v>
                </c:pt>
                <c:pt idx="26">
                  <c:v>58</c:v>
                </c:pt>
                <c:pt idx="27">
                  <c:v>58</c:v>
                </c:pt>
                <c:pt idx="28">
                  <c:v>58</c:v>
                </c:pt>
                <c:pt idx="29">
                  <c:v>58</c:v>
                </c:pt>
                <c:pt idx="30">
                  <c:v>58</c:v>
                </c:pt>
              </c:numCache>
            </c:numRef>
          </c:val>
          <c:extLst>
            <c:ext xmlns:c16="http://schemas.microsoft.com/office/drawing/2014/chart" uri="{C3380CC4-5D6E-409C-BE32-E72D297353CC}">
              <c16:uniqueId val="{00000005-77FB-2047-A89F-7DC82A4935A6}"/>
            </c:ext>
          </c:extLst>
        </c:ser>
        <c:ser>
          <c:idx val="6"/>
          <c:order val="6"/>
          <c:tx>
            <c:strRef>
              <c:f>'10.7'!$K$3</c:f>
              <c:strCache>
                <c:ptCount val="1"/>
                <c:pt idx="0">
                  <c:v>Keystone XL</c:v>
                </c:pt>
              </c:strCache>
            </c:strRef>
          </c:tx>
          <c:spPr>
            <a:solidFill>
              <a:schemeClr val="accent1">
                <a:lumMod val="60000"/>
              </a:schemeClr>
            </a:solidFill>
            <a:ln w="25400">
              <a:noFill/>
            </a:ln>
            <a:effectLst/>
          </c:spPr>
          <c:val>
            <c:numRef>
              <c:f>'10.7'!$K$4:$K$34</c:f>
              <c:numCache>
                <c:formatCode>0</c:formatCode>
                <c:ptCount val="31"/>
                <c:pt idx="0">
                  <c:v>0</c:v>
                </c:pt>
                <c:pt idx="1">
                  <c:v>0</c:v>
                </c:pt>
                <c:pt idx="2">
                  <c:v>0</c:v>
                </c:pt>
                <c:pt idx="3">
                  <c:v>0</c:v>
                </c:pt>
                <c:pt idx="4">
                  <c:v>0</c:v>
                </c:pt>
                <c:pt idx="5">
                  <c:v>0</c:v>
                </c:pt>
                <c:pt idx="6">
                  <c:v>0</c:v>
                </c:pt>
                <c:pt idx="7">
                  <c:v>0</c:v>
                </c:pt>
                <c:pt idx="8">
                  <c:v>0</c:v>
                </c:pt>
                <c:pt idx="9">
                  <c:v>0</c:v>
                </c:pt>
                <c:pt idx="10">
                  <c:v>0</c:v>
                </c:pt>
                <c:pt idx="11">
                  <c:v>66</c:v>
                </c:pt>
                <c:pt idx="12">
                  <c:v>131.89467495113539</c:v>
                </c:pt>
                <c:pt idx="13">
                  <c:v>131.89467495113539</c:v>
                </c:pt>
                <c:pt idx="14">
                  <c:v>131.89467495113539</c:v>
                </c:pt>
                <c:pt idx="15">
                  <c:v>131.89467495113539</c:v>
                </c:pt>
                <c:pt idx="16">
                  <c:v>131.89467495113539</c:v>
                </c:pt>
                <c:pt idx="17">
                  <c:v>131.89467495113539</c:v>
                </c:pt>
                <c:pt idx="18">
                  <c:v>131.89467495113539</c:v>
                </c:pt>
                <c:pt idx="19">
                  <c:v>131.89467495113539</c:v>
                </c:pt>
                <c:pt idx="20">
                  <c:v>131.89467495113539</c:v>
                </c:pt>
                <c:pt idx="21">
                  <c:v>131.89467495113539</c:v>
                </c:pt>
                <c:pt idx="22">
                  <c:v>131.89467495113539</c:v>
                </c:pt>
                <c:pt idx="23">
                  <c:v>131.89467495113539</c:v>
                </c:pt>
                <c:pt idx="24">
                  <c:v>131.89467495113539</c:v>
                </c:pt>
                <c:pt idx="25">
                  <c:v>131.89467495113539</c:v>
                </c:pt>
                <c:pt idx="26">
                  <c:v>131.89467495113539</c:v>
                </c:pt>
                <c:pt idx="27">
                  <c:v>131.89467495113539</c:v>
                </c:pt>
                <c:pt idx="28">
                  <c:v>131.89467495113539</c:v>
                </c:pt>
                <c:pt idx="29">
                  <c:v>131.89467495113539</c:v>
                </c:pt>
                <c:pt idx="30">
                  <c:v>131.89467495113539</c:v>
                </c:pt>
              </c:numCache>
            </c:numRef>
          </c:val>
          <c:extLst>
            <c:ext xmlns:c16="http://schemas.microsoft.com/office/drawing/2014/chart" uri="{C3380CC4-5D6E-409C-BE32-E72D297353CC}">
              <c16:uniqueId val="{00000006-77FB-2047-A89F-7DC82A4935A6}"/>
            </c:ext>
          </c:extLst>
        </c:ser>
        <c:ser>
          <c:idx val="7"/>
          <c:order val="7"/>
          <c:tx>
            <c:strRef>
              <c:f>'10.7'!$L$3</c:f>
              <c:strCache>
                <c:ptCount val="1"/>
                <c:pt idx="0">
                  <c:v>Trans Mountain Expansion</c:v>
                </c:pt>
              </c:strCache>
            </c:strRef>
          </c:tx>
          <c:spPr>
            <a:solidFill>
              <a:schemeClr val="accent2">
                <a:lumMod val="60000"/>
              </a:schemeClr>
            </a:solidFill>
            <a:ln w="25400">
              <a:noFill/>
            </a:ln>
            <a:effectLst/>
          </c:spPr>
          <c:val>
            <c:numRef>
              <c:f>'10.7'!$L$4:$L$34</c:f>
              <c:numCache>
                <c:formatCode>0</c:formatCode>
                <c:ptCount val="31"/>
                <c:pt idx="0">
                  <c:v>0</c:v>
                </c:pt>
                <c:pt idx="1">
                  <c:v>0</c:v>
                </c:pt>
                <c:pt idx="2">
                  <c:v>0</c:v>
                </c:pt>
                <c:pt idx="3">
                  <c:v>0</c:v>
                </c:pt>
                <c:pt idx="4">
                  <c:v>0</c:v>
                </c:pt>
                <c:pt idx="5">
                  <c:v>0</c:v>
                </c:pt>
                <c:pt idx="6">
                  <c:v>0</c:v>
                </c:pt>
                <c:pt idx="7">
                  <c:v>0</c:v>
                </c:pt>
                <c:pt idx="8">
                  <c:v>0</c:v>
                </c:pt>
                <c:pt idx="9">
                  <c:v>0</c:v>
                </c:pt>
                <c:pt idx="10">
                  <c:v>0</c:v>
                </c:pt>
                <c:pt idx="11">
                  <c:v>55</c:v>
                </c:pt>
                <c:pt idx="12">
                  <c:v>96</c:v>
                </c:pt>
                <c:pt idx="13">
                  <c:v>96</c:v>
                </c:pt>
                <c:pt idx="14">
                  <c:v>96</c:v>
                </c:pt>
                <c:pt idx="15">
                  <c:v>96</c:v>
                </c:pt>
                <c:pt idx="16">
                  <c:v>96</c:v>
                </c:pt>
                <c:pt idx="17">
                  <c:v>96</c:v>
                </c:pt>
                <c:pt idx="18">
                  <c:v>96</c:v>
                </c:pt>
                <c:pt idx="19">
                  <c:v>96</c:v>
                </c:pt>
                <c:pt idx="20">
                  <c:v>96</c:v>
                </c:pt>
                <c:pt idx="21">
                  <c:v>96</c:v>
                </c:pt>
                <c:pt idx="22">
                  <c:v>96</c:v>
                </c:pt>
                <c:pt idx="23">
                  <c:v>96</c:v>
                </c:pt>
                <c:pt idx="24">
                  <c:v>96</c:v>
                </c:pt>
                <c:pt idx="25">
                  <c:v>96</c:v>
                </c:pt>
                <c:pt idx="26">
                  <c:v>96</c:v>
                </c:pt>
                <c:pt idx="27">
                  <c:v>96</c:v>
                </c:pt>
                <c:pt idx="28">
                  <c:v>96</c:v>
                </c:pt>
                <c:pt idx="29">
                  <c:v>96</c:v>
                </c:pt>
                <c:pt idx="30">
                  <c:v>96</c:v>
                </c:pt>
              </c:numCache>
            </c:numRef>
          </c:val>
          <c:extLst>
            <c:ext xmlns:c16="http://schemas.microsoft.com/office/drawing/2014/chart" uri="{C3380CC4-5D6E-409C-BE32-E72D297353CC}">
              <c16:uniqueId val="{00000007-77FB-2047-A89F-7DC82A4935A6}"/>
            </c:ext>
          </c:extLst>
        </c:ser>
        <c:ser>
          <c:idx val="8"/>
          <c:order val="8"/>
          <c:tx>
            <c:strRef>
              <c:f>'10.7'!$M$3</c:f>
              <c:strCache>
                <c:ptCount val="1"/>
                <c:pt idx="0">
                  <c:v>Northern Gateway</c:v>
                </c:pt>
              </c:strCache>
            </c:strRef>
          </c:tx>
          <c:spPr>
            <a:solidFill>
              <a:schemeClr val="accent3">
                <a:lumMod val="60000"/>
              </a:schemeClr>
            </a:solidFill>
            <a:ln w="25400">
              <a:noFill/>
            </a:ln>
            <a:effectLst/>
          </c:spPr>
          <c:val>
            <c:numRef>
              <c:f>'10.7'!$M$4:$M$34</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41.5</c:v>
                </c:pt>
                <c:pt idx="13">
                  <c:v>83.427354637766371</c:v>
                </c:pt>
                <c:pt idx="14">
                  <c:v>83.427354637766371</c:v>
                </c:pt>
                <c:pt idx="15">
                  <c:v>83.427354637766371</c:v>
                </c:pt>
                <c:pt idx="16">
                  <c:v>83.427354637766371</c:v>
                </c:pt>
                <c:pt idx="17">
                  <c:v>83.427354637766371</c:v>
                </c:pt>
                <c:pt idx="18">
                  <c:v>83.427354637766371</c:v>
                </c:pt>
                <c:pt idx="19">
                  <c:v>83.427354637766371</c:v>
                </c:pt>
                <c:pt idx="20">
                  <c:v>83.427354637766371</c:v>
                </c:pt>
                <c:pt idx="21">
                  <c:v>83.427354637766371</c:v>
                </c:pt>
                <c:pt idx="22">
                  <c:v>83.427354637766371</c:v>
                </c:pt>
                <c:pt idx="23">
                  <c:v>83.427354637766371</c:v>
                </c:pt>
                <c:pt idx="24">
                  <c:v>83.427354637766371</c:v>
                </c:pt>
                <c:pt idx="25">
                  <c:v>83.427354637766371</c:v>
                </c:pt>
                <c:pt idx="26">
                  <c:v>83.427354637766371</c:v>
                </c:pt>
                <c:pt idx="27">
                  <c:v>83.427354637766371</c:v>
                </c:pt>
                <c:pt idx="28">
                  <c:v>83.427354637766371</c:v>
                </c:pt>
                <c:pt idx="29">
                  <c:v>83.427354637766371</c:v>
                </c:pt>
                <c:pt idx="30">
                  <c:v>83.427354637766371</c:v>
                </c:pt>
              </c:numCache>
            </c:numRef>
          </c:val>
          <c:extLst>
            <c:ext xmlns:c16="http://schemas.microsoft.com/office/drawing/2014/chart" uri="{C3380CC4-5D6E-409C-BE32-E72D297353CC}">
              <c16:uniqueId val="{00000008-77FB-2047-A89F-7DC82A4935A6}"/>
            </c:ext>
          </c:extLst>
        </c:ser>
        <c:ser>
          <c:idx val="9"/>
          <c:order val="9"/>
          <c:tx>
            <c:strRef>
              <c:f>'10.7'!$N$3</c:f>
              <c:strCache>
                <c:ptCount val="1"/>
                <c:pt idx="0">
                  <c:v>Energy East</c:v>
                </c:pt>
              </c:strCache>
            </c:strRef>
          </c:tx>
          <c:spPr>
            <a:solidFill>
              <a:schemeClr val="accent4">
                <a:lumMod val="60000"/>
              </a:schemeClr>
            </a:solidFill>
            <a:ln w="25400">
              <a:noFill/>
            </a:ln>
            <a:effectLst/>
          </c:spPr>
          <c:val>
            <c:numRef>
              <c:f>'10.7'!$N$4:$N$34</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87.5</c:v>
                </c:pt>
                <c:pt idx="15">
                  <c:v>174.80017162198666</c:v>
                </c:pt>
                <c:pt idx="16">
                  <c:v>174.80017162198666</c:v>
                </c:pt>
                <c:pt idx="17">
                  <c:v>174.80017162198666</c:v>
                </c:pt>
                <c:pt idx="18">
                  <c:v>174.80017162198666</c:v>
                </c:pt>
                <c:pt idx="19">
                  <c:v>174.80017162198666</c:v>
                </c:pt>
                <c:pt idx="20">
                  <c:v>174.80017162198666</c:v>
                </c:pt>
                <c:pt idx="21">
                  <c:v>174.80017162198666</c:v>
                </c:pt>
                <c:pt idx="22">
                  <c:v>174.80017162198666</c:v>
                </c:pt>
                <c:pt idx="23">
                  <c:v>174.80017162198666</c:v>
                </c:pt>
                <c:pt idx="24">
                  <c:v>174.80017162198666</c:v>
                </c:pt>
                <c:pt idx="25">
                  <c:v>174.80017162198666</c:v>
                </c:pt>
                <c:pt idx="26">
                  <c:v>174.80017162198666</c:v>
                </c:pt>
                <c:pt idx="27">
                  <c:v>174.80017162198666</c:v>
                </c:pt>
                <c:pt idx="28">
                  <c:v>174.80017162198666</c:v>
                </c:pt>
                <c:pt idx="29">
                  <c:v>174.80017162198666</c:v>
                </c:pt>
                <c:pt idx="30">
                  <c:v>174.80017162198666</c:v>
                </c:pt>
              </c:numCache>
            </c:numRef>
          </c:val>
          <c:extLst>
            <c:ext xmlns:c16="http://schemas.microsoft.com/office/drawing/2014/chart" uri="{C3380CC4-5D6E-409C-BE32-E72D297353CC}">
              <c16:uniqueId val="{00000009-77FB-2047-A89F-7DC82A4935A6}"/>
            </c:ext>
          </c:extLst>
        </c:ser>
        <c:dLbls>
          <c:showLegendKey val="0"/>
          <c:showVal val="0"/>
          <c:showCatName val="0"/>
          <c:showSerName val="0"/>
          <c:showPercent val="0"/>
          <c:showBubbleSize val="0"/>
        </c:dLbls>
        <c:axId val="285027087"/>
        <c:axId val="270291407"/>
      </c:areaChart>
      <c:lineChart>
        <c:grouping val="standard"/>
        <c:varyColors val="0"/>
        <c:ser>
          <c:idx val="10"/>
          <c:order val="10"/>
          <c:tx>
            <c:strRef>
              <c:f>'10.7'!$J$3</c:f>
              <c:strCache>
                <c:ptCount val="1"/>
                <c:pt idx="0">
                  <c:v>CAPP 2018 Offtake</c:v>
                </c:pt>
              </c:strCache>
            </c:strRef>
          </c:tx>
          <c:spPr>
            <a:ln w="57150" cap="rnd">
              <a:solidFill>
                <a:schemeClr val="accent5">
                  <a:lumMod val="60000"/>
                </a:schemeClr>
              </a:solidFill>
              <a:round/>
            </a:ln>
            <a:effectLst/>
          </c:spPr>
          <c:marker>
            <c:symbol val="none"/>
          </c:marker>
          <c:val>
            <c:numRef>
              <c:f>'10.7'!$J$4:$J$29</c:f>
              <c:numCache>
                <c:formatCode>General</c:formatCode>
                <c:ptCount val="26"/>
                <c:pt idx="0">
                  <c:v>354.93969603094865</c:v>
                </c:pt>
                <c:pt idx="1">
                  <c:v>384.83271730307627</c:v>
                </c:pt>
                <c:pt idx="2">
                  <c:v>433.0787795356963</c:v>
                </c:pt>
                <c:pt idx="3">
                  <c:v>474.34350889823986</c:v>
                </c:pt>
                <c:pt idx="4">
                  <c:v>530.82524449991047</c:v>
                </c:pt>
                <c:pt idx="5">
                  <c:v>564.73460638141194</c:v>
                </c:pt>
                <c:pt idx="6">
                  <c:v>565.07226424460714</c:v>
                </c:pt>
                <c:pt idx="7">
                  <c:v>611.53038465644079</c:v>
                </c:pt>
                <c:pt idx="8">
                  <c:v>666.47548806147688</c:v>
                </c:pt>
                <c:pt idx="9">
                  <c:v>696.08066591290799</c:v>
                </c:pt>
                <c:pt idx="10">
                  <c:v>713.57615937885009</c:v>
                </c:pt>
                <c:pt idx="11">
                  <c:v>725.23100883204734</c:v>
                </c:pt>
                <c:pt idx="12">
                  <c:v>737.50617905378135</c:v>
                </c:pt>
                <c:pt idx="13">
                  <c:v>748.65053530726095</c:v>
                </c:pt>
                <c:pt idx="14">
                  <c:v>754.28560081905277</c:v>
                </c:pt>
                <c:pt idx="15">
                  <c:v>762.53001607609542</c:v>
                </c:pt>
                <c:pt idx="16">
                  <c:v>773.75230623039329</c:v>
                </c:pt>
                <c:pt idx="17">
                  <c:v>782.17980117560433</c:v>
                </c:pt>
                <c:pt idx="18">
                  <c:v>791.51151188073197</c:v>
                </c:pt>
                <c:pt idx="19">
                  <c:v>812.30425895711846</c:v>
                </c:pt>
                <c:pt idx="20">
                  <c:v>831.93654475978815</c:v>
                </c:pt>
                <c:pt idx="21">
                  <c:v>850.90600027754601</c:v>
                </c:pt>
                <c:pt idx="22">
                  <c:v>864.33004565053795</c:v>
                </c:pt>
                <c:pt idx="23">
                  <c:v>881.59723614953919</c:v>
                </c:pt>
                <c:pt idx="24">
                  <c:v>896.22213971703957</c:v>
                </c:pt>
                <c:pt idx="25">
                  <c:v>906.35843741727228</c:v>
                </c:pt>
              </c:numCache>
            </c:numRef>
          </c:val>
          <c:smooth val="0"/>
          <c:extLst>
            <c:ext xmlns:c16="http://schemas.microsoft.com/office/drawing/2014/chart" uri="{C3380CC4-5D6E-409C-BE32-E72D297353CC}">
              <c16:uniqueId val="{0000000A-77FB-2047-A89F-7DC82A4935A6}"/>
            </c:ext>
          </c:extLst>
        </c:ser>
        <c:ser>
          <c:idx val="11"/>
          <c:order val="11"/>
          <c:tx>
            <c:strRef>
              <c:f>'10.7'!$O$3</c:f>
              <c:strCache>
                <c:ptCount val="1"/>
                <c:pt idx="0">
                  <c:v>CAPP 2014 Offtake</c:v>
                </c:pt>
              </c:strCache>
            </c:strRef>
          </c:tx>
          <c:spPr>
            <a:ln w="57150" cap="rnd">
              <a:solidFill>
                <a:schemeClr val="accent6">
                  <a:lumMod val="60000"/>
                </a:schemeClr>
              </a:solidFill>
              <a:round/>
            </a:ln>
            <a:effectLst/>
          </c:spPr>
          <c:marker>
            <c:symbol val="none"/>
          </c:marker>
          <c:val>
            <c:numRef>
              <c:f>'10.7'!$O$4:$O$24</c:f>
              <c:numCache>
                <c:formatCode>General</c:formatCode>
                <c:ptCount val="21"/>
                <c:pt idx="0">
                  <c:v>355.86517691959511</c:v>
                </c:pt>
                <c:pt idx="1">
                  <c:v>388.59902759036441</c:v>
                </c:pt>
                <c:pt idx="2">
                  <c:v>435.84037029651927</c:v>
                </c:pt>
                <c:pt idx="3">
                  <c:v>477.79989006695087</c:v>
                </c:pt>
                <c:pt idx="4">
                  <c:v>508.86809894693477</c:v>
                </c:pt>
                <c:pt idx="5">
                  <c:v>557.30064931468462</c:v>
                </c:pt>
                <c:pt idx="6">
                  <c:v>619.72999222827559</c:v>
                </c:pt>
                <c:pt idx="7">
                  <c:v>652.48306251665929</c:v>
                </c:pt>
                <c:pt idx="8">
                  <c:v>685.48453687721212</c:v>
                </c:pt>
                <c:pt idx="9">
                  <c:v>715.76882321197797</c:v>
                </c:pt>
                <c:pt idx="10">
                  <c:v>754.76525089686152</c:v>
                </c:pt>
                <c:pt idx="11">
                  <c:v>799.68896137476213</c:v>
                </c:pt>
                <c:pt idx="12">
                  <c:v>834.89043464490317</c:v>
                </c:pt>
                <c:pt idx="13">
                  <c:v>868.2961104671341</c:v>
                </c:pt>
                <c:pt idx="14">
                  <c:v>911.1943565578913</c:v>
                </c:pt>
                <c:pt idx="15">
                  <c:v>946.24914395579538</c:v>
                </c:pt>
                <c:pt idx="16">
                  <c:v>986.611785412475</c:v>
                </c:pt>
                <c:pt idx="17">
                  <c:v>1017.1727517891582</c:v>
                </c:pt>
                <c:pt idx="18">
                  <c:v>1049.6440275941554</c:v>
                </c:pt>
                <c:pt idx="19">
                  <c:v>1077.5188156411691</c:v>
                </c:pt>
                <c:pt idx="20">
                  <c:v>1112.7314145312898</c:v>
                </c:pt>
              </c:numCache>
            </c:numRef>
          </c:val>
          <c:smooth val="0"/>
          <c:extLst>
            <c:ext xmlns:c16="http://schemas.microsoft.com/office/drawing/2014/chart" uri="{C3380CC4-5D6E-409C-BE32-E72D297353CC}">
              <c16:uniqueId val="{0000000B-77FB-2047-A89F-7DC82A4935A6}"/>
            </c:ext>
          </c:extLst>
        </c:ser>
        <c:ser>
          <c:idx val="12"/>
          <c:order val="12"/>
          <c:tx>
            <c:strRef>
              <c:f>'10.7'!$G$3</c:f>
              <c:strCache>
                <c:ptCount val="1"/>
                <c:pt idx="0">
                  <c:v>NEB 2016 Offtake</c:v>
                </c:pt>
              </c:strCache>
            </c:strRef>
          </c:tx>
          <c:spPr>
            <a:ln w="57150" cap="rnd">
              <a:solidFill>
                <a:schemeClr val="accent1">
                  <a:lumMod val="80000"/>
                  <a:lumOff val="20000"/>
                </a:schemeClr>
              </a:solidFill>
              <a:round/>
            </a:ln>
            <a:effectLst/>
          </c:spPr>
          <c:marker>
            <c:symbol val="none"/>
          </c:marker>
          <c:val>
            <c:numRef>
              <c:f>'10.7'!$G$4:$G$34</c:f>
              <c:numCache>
                <c:formatCode>0</c:formatCode>
                <c:ptCount val="31"/>
                <c:pt idx="0">
                  <c:v>357</c:v>
                </c:pt>
                <c:pt idx="1">
                  <c:v>388</c:v>
                </c:pt>
                <c:pt idx="2">
                  <c:v>441</c:v>
                </c:pt>
                <c:pt idx="3">
                  <c:v>465</c:v>
                </c:pt>
                <c:pt idx="4">
                  <c:v>514</c:v>
                </c:pt>
                <c:pt idx="5">
                  <c:v>544</c:v>
                </c:pt>
                <c:pt idx="6">
                  <c:v>597</c:v>
                </c:pt>
                <c:pt idx="7">
                  <c:v>628</c:v>
                </c:pt>
                <c:pt idx="8">
                  <c:v>630</c:v>
                </c:pt>
                <c:pt idx="9">
                  <c:v>644</c:v>
                </c:pt>
                <c:pt idx="10">
                  <c:v>645</c:v>
                </c:pt>
                <c:pt idx="11">
                  <c:v>646</c:v>
                </c:pt>
                <c:pt idx="12">
                  <c:v>649</c:v>
                </c:pt>
                <c:pt idx="13">
                  <c:v>654</c:v>
                </c:pt>
                <c:pt idx="14">
                  <c:v>665</c:v>
                </c:pt>
                <c:pt idx="15">
                  <c:v>674</c:v>
                </c:pt>
                <c:pt idx="16">
                  <c:v>695</c:v>
                </c:pt>
                <c:pt idx="17">
                  <c:v>712</c:v>
                </c:pt>
                <c:pt idx="18">
                  <c:v>725</c:v>
                </c:pt>
                <c:pt idx="19">
                  <c:v>737</c:v>
                </c:pt>
                <c:pt idx="20">
                  <c:v>750</c:v>
                </c:pt>
                <c:pt idx="21">
                  <c:v>762</c:v>
                </c:pt>
                <c:pt idx="22">
                  <c:v>770</c:v>
                </c:pt>
                <c:pt idx="23">
                  <c:v>778</c:v>
                </c:pt>
                <c:pt idx="24">
                  <c:v>787</c:v>
                </c:pt>
                <c:pt idx="25">
                  <c:v>794</c:v>
                </c:pt>
                <c:pt idx="26">
                  <c:v>799</c:v>
                </c:pt>
                <c:pt idx="27">
                  <c:v>804</c:v>
                </c:pt>
                <c:pt idx="28">
                  <c:v>810</c:v>
                </c:pt>
                <c:pt idx="29">
                  <c:v>815</c:v>
                </c:pt>
                <c:pt idx="30">
                  <c:v>818</c:v>
                </c:pt>
              </c:numCache>
            </c:numRef>
          </c:val>
          <c:smooth val="0"/>
          <c:extLst>
            <c:ext xmlns:c16="http://schemas.microsoft.com/office/drawing/2014/chart" uri="{C3380CC4-5D6E-409C-BE32-E72D297353CC}">
              <c16:uniqueId val="{0000000C-77FB-2047-A89F-7DC82A4935A6}"/>
            </c:ext>
          </c:extLst>
        </c:ser>
        <c:dLbls>
          <c:showLegendKey val="0"/>
          <c:showVal val="0"/>
          <c:showCatName val="0"/>
          <c:showSerName val="0"/>
          <c:showPercent val="0"/>
          <c:showBubbleSize val="0"/>
        </c:dLbls>
        <c:marker val="1"/>
        <c:smooth val="0"/>
        <c:axId val="285027087"/>
        <c:axId val="270291407"/>
      </c:lineChart>
      <c:catAx>
        <c:axId val="28502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291407"/>
        <c:crosses val="autoZero"/>
        <c:auto val="1"/>
        <c:lblAlgn val="ctr"/>
        <c:lblOffset val="100"/>
        <c:noMultiLvlLbl val="0"/>
      </c:catAx>
      <c:valAx>
        <c:axId val="27029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Pipeline</a:t>
                </a:r>
                <a:r>
                  <a:rPr lang="en-US" baseline="0"/>
                  <a:t> Capacity and Forecast Demand (m3/d)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27087"/>
        <c:crosses val="autoZero"/>
        <c:crossBetween val="between"/>
      </c:valAx>
      <c:spPr>
        <a:noFill/>
        <a:ln>
          <a:noFill/>
        </a:ln>
        <a:effectLst/>
      </c:spPr>
    </c:plotArea>
    <c:legend>
      <c:legendPos val="b"/>
      <c:layout>
        <c:manualLayout>
          <c:xMode val="edge"/>
          <c:yMode val="edge"/>
          <c:x val="2.8530746618721722E-2"/>
          <c:y val="0.74412755035454814"/>
          <c:w val="0.94943201724021919"/>
          <c:h val="0.2392978640100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33</xdr:col>
      <xdr:colOff>415245</xdr:colOff>
      <xdr:row>2</xdr:row>
      <xdr:rowOff>437243</xdr:rowOff>
    </xdr:from>
    <xdr:to>
      <xdr:col>42</xdr:col>
      <xdr:colOff>247217</xdr:colOff>
      <xdr:row>17</xdr:row>
      <xdr:rowOff>174444</xdr:rowOff>
    </xdr:to>
    <xdr:pic>
      <xdr:nvPicPr>
        <xdr:cNvPr id="2" name="Picture 1">
          <a:extLst>
            <a:ext uri="{FF2B5EF4-FFF2-40B4-BE49-F238E27FC236}">
              <a16:creationId xmlns:a16="http://schemas.microsoft.com/office/drawing/2014/main" id="{F807B81D-FAD7-4981-B42C-95E568AC7D97}"/>
            </a:ext>
          </a:extLst>
        </xdr:cNvPr>
        <xdr:cNvPicPr>
          <a:picLocks noChangeAspect="1"/>
        </xdr:cNvPicPr>
      </xdr:nvPicPr>
      <xdr:blipFill>
        <a:blip xmlns:r="http://schemas.openxmlformats.org/officeDocument/2006/relationships" r:embed="rId1"/>
        <a:stretch>
          <a:fillRect/>
        </a:stretch>
      </xdr:blipFill>
      <xdr:spPr>
        <a:xfrm>
          <a:off x="30641245" y="805543"/>
          <a:ext cx="5318372" cy="31217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20638</xdr:colOff>
      <xdr:row>2</xdr:row>
      <xdr:rowOff>184150</xdr:rowOff>
    </xdr:from>
    <xdr:to>
      <xdr:col>33</xdr:col>
      <xdr:colOff>467653</xdr:colOff>
      <xdr:row>16</xdr:row>
      <xdr:rowOff>105501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230138" y="565150"/>
          <a:ext cx="5831815" cy="3276191"/>
        </a:xfrm>
        <a:prstGeom prst="rect">
          <a:avLst/>
        </a:prstGeom>
      </xdr:spPr>
    </xdr:pic>
    <xdr:clientData/>
  </xdr:twoCellAnchor>
  <xdr:twoCellAnchor>
    <xdr:from>
      <xdr:col>6</xdr:col>
      <xdr:colOff>397335</xdr:colOff>
      <xdr:row>53</xdr:row>
      <xdr:rowOff>29029</xdr:rowOff>
    </xdr:from>
    <xdr:to>
      <xdr:col>16</xdr:col>
      <xdr:colOff>10885</xdr:colOff>
      <xdr:row>77</xdr:row>
      <xdr:rowOff>54428</xdr:rowOff>
    </xdr:to>
    <xdr:graphicFrame macro="">
      <xdr:nvGraphicFramePr>
        <xdr:cNvPr id="3" name="Chart 2">
          <a:extLst>
            <a:ext uri="{FF2B5EF4-FFF2-40B4-BE49-F238E27FC236}">
              <a16:creationId xmlns:a16="http://schemas.microsoft.com/office/drawing/2014/main" id="{9001843A-4F82-1B48-8088-B515FC0D4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uxor\data\2007%20ST%20Deliv\d%20Drilling\Appendices\App%20Drl.6,%20DrlDaysperWel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 Drl.6, DrlDaysperWell"/>
      <sheetName val="GasRsrcGrpData"/>
      <sheetName val="AllRsrcData"/>
      <sheetName val="zz_GasOilSplit3"/>
    </sheetNames>
    <sheetDataSet>
      <sheetData sheetId="0" refreshError="1"/>
      <sheetData sheetId="1" refreshError="1"/>
      <sheetData sheetId="2" refreshError="1"/>
      <sheetData sheetId="3">
        <row r="1">
          <cell r="A1" t="str">
            <v>Study Area No</v>
          </cell>
          <cell r="B1" t="str">
            <v>DrlYr</v>
          </cell>
          <cell r="C1" t="str">
            <v>Drill Effort</v>
          </cell>
          <cell r="D1" t="str">
            <v>Purpose</v>
          </cell>
          <cell r="E1" t="str">
            <v>Resource</v>
          </cell>
          <cell r="F1" t="str">
            <v>RsrcType</v>
          </cell>
          <cell r="G1" t="str">
            <v>CBM Play</v>
          </cell>
          <cell r="H1" t="str">
            <v>DrlgGrp</v>
          </cell>
          <cell r="I1" t="str">
            <v>RsrcGrp</v>
          </cell>
          <cell r="J1" t="str">
            <v>Prov</v>
          </cell>
          <cell r="K1" t="str">
            <v>RigCat</v>
          </cell>
          <cell r="L1" t="str">
            <v>CountOfLic/WA/WID/Permit .</v>
          </cell>
          <cell r="M1" t="str">
            <v>SumOfAdjDrlDays</v>
          </cell>
        </row>
        <row r="2">
          <cell r="A2">
            <v>0</v>
          </cell>
          <cell r="B2">
            <v>2001</v>
          </cell>
          <cell r="C2">
            <v>1</v>
          </cell>
          <cell r="D2" t="str">
            <v>Production</v>
          </cell>
          <cell r="E2" t="str">
            <v>Gas</v>
          </cell>
          <cell r="F2" t="str">
            <v>CBM</v>
          </cell>
          <cell r="G2" t="str">
            <v>Mannville</v>
          </cell>
          <cell r="H2" t="str">
            <v>Production;Gas;CBM</v>
          </cell>
          <cell r="I2" t="str">
            <v>Gas;CBM;Mannville;0</v>
          </cell>
          <cell r="J2" t="str">
            <v>AB</v>
          </cell>
          <cell r="K2" t="str">
            <v>Medium</v>
          </cell>
          <cell r="L2">
            <v>1</v>
          </cell>
          <cell r="M2">
            <v>16</v>
          </cell>
        </row>
        <row r="3">
          <cell r="A3">
            <v>0</v>
          </cell>
          <cell r="B3">
            <v>2001</v>
          </cell>
          <cell r="C3">
            <v>1</v>
          </cell>
          <cell r="D3" t="str">
            <v>Production</v>
          </cell>
          <cell r="E3" t="str">
            <v>Gas</v>
          </cell>
          <cell r="F3" t="str">
            <v>CBM</v>
          </cell>
          <cell r="G3" t="str">
            <v>Mannville</v>
          </cell>
          <cell r="H3" t="str">
            <v>Production;Gas;CBM</v>
          </cell>
          <cell r="I3" t="str">
            <v>Gas;CBM;Mannville;0</v>
          </cell>
          <cell r="J3" t="str">
            <v>AB</v>
          </cell>
          <cell r="K3" t="str">
            <v>Shallow</v>
          </cell>
          <cell r="L3">
            <v>6</v>
          </cell>
          <cell r="M3">
            <v>57</v>
          </cell>
        </row>
        <row r="4">
          <cell r="A4">
            <v>0</v>
          </cell>
          <cell r="B4">
            <v>2002</v>
          </cell>
          <cell r="C4">
            <v>1</v>
          </cell>
          <cell r="D4" t="str">
            <v>Production</v>
          </cell>
          <cell r="E4" t="str">
            <v>Gas</v>
          </cell>
          <cell r="F4" t="str">
            <v>CBM</v>
          </cell>
          <cell r="G4" t="str">
            <v>Mannville</v>
          </cell>
          <cell r="H4" t="str">
            <v>Production;Gas;CBM</v>
          </cell>
          <cell r="I4" t="str">
            <v>Gas;CBM;Mannville;0</v>
          </cell>
          <cell r="J4" t="str">
            <v>AB</v>
          </cell>
          <cell r="K4" t="str">
            <v>Medium</v>
          </cell>
          <cell r="L4">
            <v>4</v>
          </cell>
          <cell r="M4">
            <v>47.833332999999996</v>
          </cell>
        </row>
        <row r="5">
          <cell r="A5">
            <v>0</v>
          </cell>
          <cell r="B5">
            <v>2002</v>
          </cell>
          <cell r="C5">
            <v>1</v>
          </cell>
          <cell r="D5" t="str">
            <v>Production</v>
          </cell>
          <cell r="E5" t="str">
            <v>Gas</v>
          </cell>
          <cell r="F5" t="str">
            <v>CBM</v>
          </cell>
          <cell r="G5" t="str">
            <v>Mannville</v>
          </cell>
          <cell r="H5" t="str">
            <v>Production;Gas;CBM</v>
          </cell>
          <cell r="I5" t="str">
            <v>Gas;CBM;Mannville;0</v>
          </cell>
          <cell r="J5" t="str">
            <v>AB</v>
          </cell>
          <cell r="K5" t="str">
            <v>Shallow</v>
          </cell>
          <cell r="L5">
            <v>2</v>
          </cell>
          <cell r="M5">
            <v>31</v>
          </cell>
        </row>
        <row r="6">
          <cell r="A6">
            <v>0</v>
          </cell>
          <cell r="B6">
            <v>2003</v>
          </cell>
          <cell r="C6">
            <v>1</v>
          </cell>
          <cell r="D6" t="str">
            <v>Production</v>
          </cell>
          <cell r="E6" t="str">
            <v>Gas</v>
          </cell>
          <cell r="F6" t="str">
            <v>CBM</v>
          </cell>
          <cell r="G6" t="str">
            <v>Mannville</v>
          </cell>
          <cell r="H6" t="str">
            <v>Production;Gas;CBM</v>
          </cell>
          <cell r="I6" t="str">
            <v>Gas;CBM;Mannville;0</v>
          </cell>
          <cell r="J6" t="str">
            <v>AB</v>
          </cell>
          <cell r="K6" t="str">
            <v>SHALLOW</v>
          </cell>
          <cell r="L6">
            <v>6</v>
          </cell>
          <cell r="M6">
            <v>51</v>
          </cell>
        </row>
        <row r="7">
          <cell r="A7">
            <v>0</v>
          </cell>
          <cell r="B7">
            <v>2005</v>
          </cell>
          <cell r="C7">
            <v>1</v>
          </cell>
          <cell r="D7" t="str">
            <v>Production</v>
          </cell>
          <cell r="E7" t="str">
            <v>Gas</v>
          </cell>
          <cell r="F7" t="str">
            <v>CBM</v>
          </cell>
          <cell r="G7" t="str">
            <v>Mannville</v>
          </cell>
          <cell r="H7" t="str">
            <v>Production;Gas;CBM</v>
          </cell>
          <cell r="I7" t="str">
            <v>Gas;CBM;Mannville;0</v>
          </cell>
          <cell r="J7" t="str">
            <v>AB</v>
          </cell>
          <cell r="K7" t="str">
            <v>Medium</v>
          </cell>
          <cell r="L7">
            <v>1</v>
          </cell>
          <cell r="M7">
            <v>12</v>
          </cell>
        </row>
        <row r="8">
          <cell r="A8">
            <v>0</v>
          </cell>
          <cell r="B8">
            <v>2005</v>
          </cell>
          <cell r="C8">
            <v>1</v>
          </cell>
          <cell r="D8" t="str">
            <v>Production</v>
          </cell>
          <cell r="E8" t="str">
            <v>Gas</v>
          </cell>
          <cell r="F8" t="str">
            <v>CBM</v>
          </cell>
          <cell r="G8" t="str">
            <v>Mannville</v>
          </cell>
          <cell r="H8" t="str">
            <v>Production;Gas;CBM</v>
          </cell>
          <cell r="I8" t="str">
            <v>Gas;CBM;Mannville;0</v>
          </cell>
          <cell r="J8" t="str">
            <v>AB</v>
          </cell>
          <cell r="K8" t="str">
            <v>Shallow</v>
          </cell>
          <cell r="L8">
            <v>1</v>
          </cell>
          <cell r="M8">
            <v>11.5</v>
          </cell>
        </row>
        <row r="9">
          <cell r="A9">
            <v>0</v>
          </cell>
          <cell r="B9">
            <v>2000</v>
          </cell>
          <cell r="C9">
            <v>1</v>
          </cell>
          <cell r="D9" t="str">
            <v>Production</v>
          </cell>
          <cell r="E9" t="str">
            <v>Gas</v>
          </cell>
          <cell r="F9" t="str">
            <v>CBM</v>
          </cell>
          <cell r="G9" t="str">
            <v>Main HSC</v>
          </cell>
          <cell r="H9" t="str">
            <v>Production;Gas;CBM</v>
          </cell>
          <cell r="I9" t="str">
            <v>Gas;CBM;Main HSC;0</v>
          </cell>
          <cell r="J9" t="str">
            <v>AB</v>
          </cell>
          <cell r="K9" t="str">
            <v>Medium</v>
          </cell>
          <cell r="L9">
            <v>1</v>
          </cell>
          <cell r="M9">
            <v>4</v>
          </cell>
        </row>
        <row r="10">
          <cell r="A10">
            <v>0</v>
          </cell>
          <cell r="B10">
            <v>2000</v>
          </cell>
          <cell r="C10">
            <v>1</v>
          </cell>
          <cell r="D10" t="str">
            <v>Production</v>
          </cell>
          <cell r="E10" t="str">
            <v>Gas</v>
          </cell>
          <cell r="F10" t="str">
            <v>CBM</v>
          </cell>
          <cell r="G10" t="str">
            <v>Mannville</v>
          </cell>
          <cell r="H10" t="str">
            <v>Production;Gas;CBM</v>
          </cell>
          <cell r="I10" t="str">
            <v>Gas;CBM;Mannville;0</v>
          </cell>
          <cell r="J10" t="str">
            <v>AB</v>
          </cell>
          <cell r="K10" t="str">
            <v>SHALLOW</v>
          </cell>
          <cell r="L10">
            <v>1</v>
          </cell>
          <cell r="M10">
            <v>15</v>
          </cell>
        </row>
        <row r="11">
          <cell r="A11">
            <v>0</v>
          </cell>
          <cell r="B11">
            <v>2000</v>
          </cell>
          <cell r="C11">
            <v>1</v>
          </cell>
          <cell r="D11" t="str">
            <v>Production</v>
          </cell>
          <cell r="E11" t="str">
            <v>Gas</v>
          </cell>
          <cell r="F11" t="str">
            <v>CBM</v>
          </cell>
          <cell r="G11" t="str">
            <v>Other CBM</v>
          </cell>
          <cell r="H11" t="str">
            <v>Production;Gas;CBM</v>
          </cell>
          <cell r="I11" t="str">
            <v>Gas;CBM;Other CBM;0</v>
          </cell>
          <cell r="J11" t="str">
            <v>AB</v>
          </cell>
          <cell r="K11" t="str">
            <v>Medium</v>
          </cell>
          <cell r="L11">
            <v>1</v>
          </cell>
          <cell r="M11">
            <v>5</v>
          </cell>
        </row>
        <row r="12">
          <cell r="A12">
            <v>0</v>
          </cell>
          <cell r="B12">
            <v>2000</v>
          </cell>
          <cell r="C12">
            <v>1</v>
          </cell>
          <cell r="D12" t="str">
            <v>Production</v>
          </cell>
          <cell r="E12" t="str">
            <v>Gas</v>
          </cell>
          <cell r="F12" t="str">
            <v>CBM</v>
          </cell>
          <cell r="G12" t="str">
            <v>Other CBM</v>
          </cell>
          <cell r="H12" t="str">
            <v>Production;Gas;CBM</v>
          </cell>
          <cell r="I12" t="str">
            <v>Gas;CBM;Other CBM;0</v>
          </cell>
          <cell r="J12" t="str">
            <v>AB</v>
          </cell>
          <cell r="K12" t="str">
            <v>SHALLOW</v>
          </cell>
          <cell r="L12">
            <v>9</v>
          </cell>
          <cell r="M12">
            <v>53.333333000000003</v>
          </cell>
        </row>
        <row r="13">
          <cell r="A13">
            <v>0</v>
          </cell>
          <cell r="B13">
            <v>2001</v>
          </cell>
          <cell r="C13">
            <v>1</v>
          </cell>
          <cell r="D13" t="str">
            <v>Production</v>
          </cell>
          <cell r="E13" t="str">
            <v>Gas</v>
          </cell>
          <cell r="F13" t="str">
            <v>CBM</v>
          </cell>
          <cell r="G13" t="str">
            <v>Other CBM</v>
          </cell>
          <cell r="H13" t="str">
            <v>Production;Gas;CBM</v>
          </cell>
          <cell r="I13" t="str">
            <v>Gas;CBM;Other CBM;0</v>
          </cell>
          <cell r="J13" t="str">
            <v>AB</v>
          </cell>
          <cell r="K13" t="str">
            <v>MEDIUM</v>
          </cell>
          <cell r="L13">
            <v>2</v>
          </cell>
          <cell r="M13">
            <v>10</v>
          </cell>
        </row>
        <row r="14">
          <cell r="A14">
            <v>0</v>
          </cell>
          <cell r="B14">
            <v>2001</v>
          </cell>
          <cell r="C14">
            <v>1</v>
          </cell>
          <cell r="D14" t="str">
            <v>Production</v>
          </cell>
          <cell r="E14" t="str">
            <v>Gas</v>
          </cell>
          <cell r="F14" t="str">
            <v>CBM</v>
          </cell>
          <cell r="G14" t="str">
            <v>Other CBM</v>
          </cell>
          <cell r="H14" t="str">
            <v>Production;Gas;CBM</v>
          </cell>
          <cell r="I14" t="str">
            <v>Gas;CBM;Other CBM;0</v>
          </cell>
          <cell r="J14" t="str">
            <v>AB</v>
          </cell>
          <cell r="K14" t="str">
            <v>Shallow</v>
          </cell>
          <cell r="L14">
            <v>17</v>
          </cell>
          <cell r="M14">
            <v>92.666665999999992</v>
          </cell>
        </row>
        <row r="15">
          <cell r="A15">
            <v>0</v>
          </cell>
          <cell r="B15">
            <v>2002</v>
          </cell>
          <cell r="C15">
            <v>1</v>
          </cell>
          <cell r="D15" t="str">
            <v>Production</v>
          </cell>
          <cell r="E15" t="str">
            <v>Gas</v>
          </cell>
          <cell r="F15" t="str">
            <v>CBM</v>
          </cell>
          <cell r="G15" t="str">
            <v>Other CBM</v>
          </cell>
          <cell r="H15" t="str">
            <v>Production;Gas;CBM</v>
          </cell>
          <cell r="I15" t="str">
            <v>Gas;CBM;Other CBM;0</v>
          </cell>
          <cell r="J15" t="str">
            <v>AB</v>
          </cell>
          <cell r="K15" t="str">
            <v>Shallow</v>
          </cell>
          <cell r="L15">
            <v>14</v>
          </cell>
          <cell r="M15">
            <v>53.5</v>
          </cell>
        </row>
        <row r="16">
          <cell r="A16">
            <v>0</v>
          </cell>
          <cell r="B16">
            <v>2003</v>
          </cell>
          <cell r="C16">
            <v>1</v>
          </cell>
          <cell r="D16" t="str">
            <v>Production</v>
          </cell>
          <cell r="E16" t="str">
            <v>Gas</v>
          </cell>
          <cell r="F16" t="str">
            <v>CBM</v>
          </cell>
          <cell r="G16" t="str">
            <v>Main HSC</v>
          </cell>
          <cell r="H16" t="str">
            <v>Production;Gas;CBM</v>
          </cell>
          <cell r="I16" t="str">
            <v>Gas;CBM;Main HSC;0</v>
          </cell>
          <cell r="J16" t="str">
            <v>AB</v>
          </cell>
          <cell r="K16" t="str">
            <v>Shallow</v>
          </cell>
          <cell r="L16">
            <v>1</v>
          </cell>
          <cell r="M16">
            <v>1.0095240000000001</v>
          </cell>
        </row>
        <row r="17">
          <cell r="A17">
            <v>0</v>
          </cell>
          <cell r="B17">
            <v>2003</v>
          </cell>
          <cell r="C17">
            <v>1</v>
          </cell>
          <cell r="D17" t="str">
            <v>Production</v>
          </cell>
          <cell r="E17" t="str">
            <v>Gas</v>
          </cell>
          <cell r="F17" t="str">
            <v>CBM</v>
          </cell>
          <cell r="G17" t="str">
            <v>Mannville</v>
          </cell>
          <cell r="H17" t="str">
            <v>Production;Gas;CBM</v>
          </cell>
          <cell r="I17" t="str">
            <v>Gas;CBM;Mannville;0</v>
          </cell>
          <cell r="J17" t="str">
            <v>AB</v>
          </cell>
          <cell r="K17" t="str">
            <v>Shallow</v>
          </cell>
          <cell r="L17">
            <v>1</v>
          </cell>
          <cell r="M17">
            <v>3</v>
          </cell>
        </row>
        <row r="18">
          <cell r="A18">
            <v>0</v>
          </cell>
          <cell r="B18">
            <v>2003</v>
          </cell>
          <cell r="C18">
            <v>1</v>
          </cell>
          <cell r="D18" t="str">
            <v>Production</v>
          </cell>
          <cell r="E18" t="str">
            <v>Gas</v>
          </cell>
          <cell r="F18" t="str">
            <v>CBM</v>
          </cell>
          <cell r="G18" t="str">
            <v>Other CBM</v>
          </cell>
          <cell r="H18" t="str">
            <v>Production;Gas;CBM</v>
          </cell>
          <cell r="I18" t="str">
            <v>Gas;CBM;Other CBM;0</v>
          </cell>
          <cell r="J18" t="str">
            <v>AB</v>
          </cell>
          <cell r="K18" t="str">
            <v>Medium</v>
          </cell>
          <cell r="L18">
            <v>5</v>
          </cell>
          <cell r="M18">
            <v>20</v>
          </cell>
        </row>
        <row r="19">
          <cell r="A19">
            <v>0</v>
          </cell>
          <cell r="B19">
            <v>2003</v>
          </cell>
          <cell r="C19">
            <v>1</v>
          </cell>
          <cell r="D19" t="str">
            <v>Production</v>
          </cell>
          <cell r="E19" t="str">
            <v>Gas</v>
          </cell>
          <cell r="F19" t="str">
            <v>CBM</v>
          </cell>
          <cell r="G19" t="str">
            <v>Other CBM</v>
          </cell>
          <cell r="H19" t="str">
            <v>Production;Gas;CBM</v>
          </cell>
          <cell r="I19" t="str">
            <v>Gas;CBM;Other CBM;0</v>
          </cell>
          <cell r="J19" t="str">
            <v>AB</v>
          </cell>
          <cell r="K19" t="str">
            <v>Shallow</v>
          </cell>
          <cell r="L19">
            <v>43</v>
          </cell>
          <cell r="M19">
            <v>188.07301870000003</v>
          </cell>
        </row>
        <row r="20">
          <cell r="A20">
            <v>0</v>
          </cell>
          <cell r="B20">
            <v>2004</v>
          </cell>
          <cell r="C20">
            <v>1</v>
          </cell>
          <cell r="D20" t="str">
            <v>Production</v>
          </cell>
          <cell r="E20" t="str">
            <v>Gas</v>
          </cell>
          <cell r="F20" t="str">
            <v>CBM</v>
          </cell>
          <cell r="G20" t="str">
            <v>Main HSC</v>
          </cell>
          <cell r="H20" t="str">
            <v>Production;Gas;CBM</v>
          </cell>
          <cell r="I20" t="str">
            <v>Gas;CBM;Main HSC;0</v>
          </cell>
          <cell r="J20" t="str">
            <v>AB</v>
          </cell>
          <cell r="K20" t="str">
            <v>Shallow</v>
          </cell>
          <cell r="L20">
            <v>6</v>
          </cell>
          <cell r="M20">
            <v>26.216343999999999</v>
          </cell>
        </row>
        <row r="21">
          <cell r="A21">
            <v>0</v>
          </cell>
          <cell r="B21">
            <v>2004</v>
          </cell>
          <cell r="C21">
            <v>1</v>
          </cell>
          <cell r="D21" t="str">
            <v>Production</v>
          </cell>
          <cell r="E21" t="str">
            <v>Gas</v>
          </cell>
          <cell r="F21" t="str">
            <v>CBM</v>
          </cell>
          <cell r="G21" t="str">
            <v>Other CBM</v>
          </cell>
          <cell r="H21" t="str">
            <v>Production;Gas;CBM</v>
          </cell>
          <cell r="I21" t="str">
            <v>Gas;CBM;Other CBM;0</v>
          </cell>
          <cell r="J21" t="str">
            <v>AB</v>
          </cell>
          <cell r="K21" t="str">
            <v>Medium</v>
          </cell>
          <cell r="L21">
            <v>6</v>
          </cell>
          <cell r="M21">
            <v>16</v>
          </cell>
        </row>
        <row r="22">
          <cell r="A22">
            <v>0</v>
          </cell>
          <cell r="B22">
            <v>2004</v>
          </cell>
          <cell r="C22">
            <v>1</v>
          </cell>
          <cell r="D22" t="str">
            <v>Production</v>
          </cell>
          <cell r="E22" t="str">
            <v>Gas</v>
          </cell>
          <cell r="F22" t="str">
            <v>CBM</v>
          </cell>
          <cell r="G22" t="str">
            <v>Other CBM</v>
          </cell>
          <cell r="H22" t="str">
            <v>Production;Gas;CBM</v>
          </cell>
          <cell r="I22" t="str">
            <v>Gas;CBM;Other CBM;0</v>
          </cell>
          <cell r="J22" t="str">
            <v>AB</v>
          </cell>
          <cell r="K22" t="str">
            <v>Shallow</v>
          </cell>
          <cell r="L22">
            <v>12</v>
          </cell>
          <cell r="M22">
            <v>43.009523999999999</v>
          </cell>
        </row>
        <row r="23">
          <cell r="A23">
            <v>0</v>
          </cell>
          <cell r="B23">
            <v>2005</v>
          </cell>
          <cell r="C23">
            <v>1</v>
          </cell>
          <cell r="D23" t="str">
            <v>Production</v>
          </cell>
          <cell r="E23" t="str">
            <v>Gas</v>
          </cell>
          <cell r="F23" t="str">
            <v>CBM</v>
          </cell>
          <cell r="G23" t="str">
            <v>Main HSC</v>
          </cell>
          <cell r="H23" t="str">
            <v>Production;Gas;CBM</v>
          </cell>
          <cell r="I23" t="str">
            <v>Gas;CBM;Main HSC;0</v>
          </cell>
          <cell r="J23" t="str">
            <v>AB</v>
          </cell>
          <cell r="K23" t="str">
            <v>Medium</v>
          </cell>
          <cell r="L23">
            <v>1</v>
          </cell>
          <cell r="M23">
            <v>5</v>
          </cell>
        </row>
        <row r="24">
          <cell r="A24">
            <v>0</v>
          </cell>
          <cell r="B24">
            <v>2005</v>
          </cell>
          <cell r="C24">
            <v>1</v>
          </cell>
          <cell r="D24" t="str">
            <v>Production</v>
          </cell>
          <cell r="E24" t="str">
            <v>Gas</v>
          </cell>
          <cell r="F24" t="str">
            <v>CBM</v>
          </cell>
          <cell r="G24" t="str">
            <v>Main HSC</v>
          </cell>
          <cell r="H24" t="str">
            <v>Production;Gas;CBM</v>
          </cell>
          <cell r="I24" t="str">
            <v>Gas;CBM;Main HSC;0</v>
          </cell>
          <cell r="J24" t="str">
            <v>AB</v>
          </cell>
          <cell r="K24" t="str">
            <v>Shallow</v>
          </cell>
          <cell r="L24">
            <v>1</v>
          </cell>
          <cell r="M24">
            <v>4</v>
          </cell>
        </row>
        <row r="25">
          <cell r="A25">
            <v>0</v>
          </cell>
          <cell r="B25">
            <v>2005</v>
          </cell>
          <cell r="C25">
            <v>1</v>
          </cell>
          <cell r="D25" t="str">
            <v>Production</v>
          </cell>
          <cell r="E25" t="str">
            <v>Gas</v>
          </cell>
          <cell r="F25" t="str">
            <v>CBM</v>
          </cell>
          <cell r="G25" t="str">
            <v>Other CBM</v>
          </cell>
          <cell r="H25" t="str">
            <v>Production;Gas;CBM</v>
          </cell>
          <cell r="I25" t="str">
            <v>Gas;CBM;Other CBM;0</v>
          </cell>
          <cell r="J25" t="str">
            <v>AB</v>
          </cell>
          <cell r="K25" t="str">
            <v>Medium</v>
          </cell>
          <cell r="L25">
            <v>4</v>
          </cell>
          <cell r="M25">
            <v>24</v>
          </cell>
        </row>
        <row r="26">
          <cell r="A26">
            <v>0</v>
          </cell>
          <cell r="B26">
            <v>2005</v>
          </cell>
          <cell r="C26">
            <v>1</v>
          </cell>
          <cell r="D26" t="str">
            <v>Production</v>
          </cell>
          <cell r="E26" t="str">
            <v>Gas</v>
          </cell>
          <cell r="F26" t="str">
            <v>CBM</v>
          </cell>
          <cell r="G26" t="str">
            <v>Other CBM</v>
          </cell>
          <cell r="H26" t="str">
            <v>Production;Gas;CBM</v>
          </cell>
          <cell r="I26" t="str">
            <v>Gas;CBM;Other CBM;0</v>
          </cell>
          <cell r="J26" t="str">
            <v>AB</v>
          </cell>
          <cell r="K26" t="str">
            <v>Shallow</v>
          </cell>
          <cell r="L26">
            <v>28</v>
          </cell>
          <cell r="M26">
            <v>146.78333330000001</v>
          </cell>
        </row>
        <row r="27">
          <cell r="A27">
            <v>0</v>
          </cell>
          <cell r="B27">
            <v>2006</v>
          </cell>
          <cell r="C27">
            <v>1</v>
          </cell>
          <cell r="D27" t="str">
            <v>Production</v>
          </cell>
          <cell r="E27" t="str">
            <v>Gas</v>
          </cell>
          <cell r="F27" t="str">
            <v>CBM</v>
          </cell>
          <cell r="G27" t="str">
            <v>Main HSC</v>
          </cell>
          <cell r="H27" t="str">
            <v>Production;Gas;CBM</v>
          </cell>
          <cell r="I27" t="str">
            <v>Gas;CBM;Main HSC;0</v>
          </cell>
          <cell r="J27" t="str">
            <v>AB</v>
          </cell>
          <cell r="K27" t="str">
            <v>Shallow</v>
          </cell>
          <cell r="L27">
            <v>3</v>
          </cell>
          <cell r="M27">
            <v>5.3095238</v>
          </cell>
        </row>
        <row r="28">
          <cell r="A28">
            <v>0</v>
          </cell>
          <cell r="B28">
            <v>2006</v>
          </cell>
          <cell r="C28">
            <v>1</v>
          </cell>
          <cell r="D28" t="str">
            <v>Production</v>
          </cell>
          <cell r="E28" t="str">
            <v>Gas</v>
          </cell>
          <cell r="F28" t="str">
            <v>CBM</v>
          </cell>
          <cell r="G28" t="str">
            <v>Mannville</v>
          </cell>
          <cell r="H28" t="str">
            <v>Production;Gas;CBM</v>
          </cell>
          <cell r="I28" t="str">
            <v>Gas;CBM;Mannville;0</v>
          </cell>
          <cell r="J28" t="str">
            <v>AB</v>
          </cell>
          <cell r="K28" t="str">
            <v>Medium</v>
          </cell>
          <cell r="L28">
            <v>2</v>
          </cell>
          <cell r="M28">
            <v>18</v>
          </cell>
        </row>
        <row r="29">
          <cell r="A29">
            <v>0</v>
          </cell>
          <cell r="B29">
            <v>2006</v>
          </cell>
          <cell r="C29">
            <v>1</v>
          </cell>
          <cell r="D29" t="str">
            <v>Production</v>
          </cell>
          <cell r="E29" t="str">
            <v>Gas</v>
          </cell>
          <cell r="F29" t="str">
            <v>CBM</v>
          </cell>
          <cell r="G29" t="str">
            <v>Other CBM</v>
          </cell>
          <cell r="H29" t="str">
            <v>Production;Gas;CBM</v>
          </cell>
          <cell r="I29" t="str">
            <v>Gas;CBM;Other CBM;0</v>
          </cell>
          <cell r="J29" t="str">
            <v>AB</v>
          </cell>
          <cell r="K29" t="str">
            <v>Medium</v>
          </cell>
          <cell r="L29">
            <v>1</v>
          </cell>
          <cell r="M29">
            <v>5</v>
          </cell>
        </row>
        <row r="30">
          <cell r="A30">
            <v>0</v>
          </cell>
          <cell r="B30">
            <v>2006</v>
          </cell>
          <cell r="C30">
            <v>1</v>
          </cell>
          <cell r="D30" t="str">
            <v>Production</v>
          </cell>
          <cell r="E30" t="str">
            <v>Gas</v>
          </cell>
          <cell r="F30" t="str">
            <v>CBM</v>
          </cell>
          <cell r="G30" t="str">
            <v>Other CBM</v>
          </cell>
          <cell r="H30" t="str">
            <v>Production;Gas;CBM</v>
          </cell>
          <cell r="I30" t="str">
            <v>Gas;CBM;Other CBM;0</v>
          </cell>
          <cell r="J30" t="str">
            <v>AB</v>
          </cell>
          <cell r="K30" t="str">
            <v>Shallow</v>
          </cell>
          <cell r="L30">
            <v>33</v>
          </cell>
          <cell r="M30">
            <v>181.39999929999999</v>
          </cell>
        </row>
        <row r="31">
          <cell r="A31">
            <v>0</v>
          </cell>
          <cell r="B31">
            <v>2007</v>
          </cell>
          <cell r="C31">
            <v>1</v>
          </cell>
          <cell r="D31" t="str">
            <v>Production</v>
          </cell>
          <cell r="E31" t="str">
            <v>Gas</v>
          </cell>
          <cell r="F31" t="str">
            <v>CBM</v>
          </cell>
          <cell r="G31" t="str">
            <v>Main HSC</v>
          </cell>
          <cell r="H31" t="str">
            <v>Production;Gas;CBM</v>
          </cell>
          <cell r="I31" t="str">
            <v>Gas;CBM;Main HSC;0</v>
          </cell>
          <cell r="J31" t="str">
            <v>AB</v>
          </cell>
          <cell r="K31" t="str">
            <v>Medium</v>
          </cell>
          <cell r="L31">
            <v>9</v>
          </cell>
          <cell r="M31">
            <v>18</v>
          </cell>
        </row>
        <row r="32">
          <cell r="A32">
            <v>0</v>
          </cell>
          <cell r="B32">
            <v>2007</v>
          </cell>
          <cell r="C32">
            <v>1</v>
          </cell>
          <cell r="D32" t="str">
            <v>Production</v>
          </cell>
          <cell r="E32" t="str">
            <v>Gas</v>
          </cell>
          <cell r="F32" t="str">
            <v>CBM</v>
          </cell>
          <cell r="G32" t="str">
            <v>Main HSC</v>
          </cell>
          <cell r="H32" t="str">
            <v>Production;Gas;CBM</v>
          </cell>
          <cell r="I32" t="str">
            <v>Gas;CBM;Main HSC;0</v>
          </cell>
          <cell r="J32" t="str">
            <v>AB</v>
          </cell>
          <cell r="K32" t="str">
            <v>Shallow</v>
          </cell>
          <cell r="L32">
            <v>10</v>
          </cell>
          <cell r="M32">
            <v>20.476262999999999</v>
          </cell>
        </row>
        <row r="33">
          <cell r="A33">
            <v>0</v>
          </cell>
          <cell r="B33">
            <v>2007</v>
          </cell>
          <cell r="C33">
            <v>1</v>
          </cell>
          <cell r="D33" t="str">
            <v>Production</v>
          </cell>
          <cell r="E33" t="str">
            <v>Gas</v>
          </cell>
          <cell r="F33" t="str">
            <v>CBM</v>
          </cell>
          <cell r="G33" t="str">
            <v>Other CBM</v>
          </cell>
          <cell r="H33" t="str">
            <v>Production;Gas;CBM</v>
          </cell>
          <cell r="I33" t="str">
            <v>Gas;CBM;Other CBM;0</v>
          </cell>
          <cell r="J33" t="str">
            <v>AB</v>
          </cell>
          <cell r="K33" t="str">
            <v>Shallow</v>
          </cell>
          <cell r="L33">
            <v>1</v>
          </cell>
          <cell r="M33">
            <v>2</v>
          </cell>
        </row>
        <row r="34">
          <cell r="A34">
            <v>0</v>
          </cell>
          <cell r="B34">
            <v>2000</v>
          </cell>
          <cell r="C34">
            <v>1</v>
          </cell>
          <cell r="D34" t="str">
            <v>Production</v>
          </cell>
          <cell r="E34" t="str">
            <v>Gas</v>
          </cell>
          <cell r="F34" t="str">
            <v>CBM</v>
          </cell>
          <cell r="G34" t="str">
            <v>Main HSC</v>
          </cell>
          <cell r="H34" t="str">
            <v>Production;Gas;CBM</v>
          </cell>
          <cell r="I34" t="str">
            <v>Gas;CBM;Main HSC;0</v>
          </cell>
          <cell r="J34" t="str">
            <v>AB</v>
          </cell>
          <cell r="K34" t="str">
            <v>Medium</v>
          </cell>
          <cell r="L34">
            <v>2</v>
          </cell>
          <cell r="M34">
            <v>5.5</v>
          </cell>
        </row>
        <row r="35">
          <cell r="A35">
            <v>0</v>
          </cell>
          <cell r="B35">
            <v>2000</v>
          </cell>
          <cell r="C35">
            <v>1</v>
          </cell>
          <cell r="D35" t="str">
            <v>Production</v>
          </cell>
          <cell r="E35" t="str">
            <v>Gas</v>
          </cell>
          <cell r="F35" t="str">
            <v>CBM</v>
          </cell>
          <cell r="G35" t="str">
            <v>Main HSC</v>
          </cell>
          <cell r="H35" t="str">
            <v>Production;Gas;CBM</v>
          </cell>
          <cell r="I35" t="str">
            <v>Gas;CBM;Main HSC;0</v>
          </cell>
          <cell r="J35" t="str">
            <v>AB</v>
          </cell>
          <cell r="K35" t="str">
            <v>Shallow</v>
          </cell>
          <cell r="L35">
            <v>86</v>
          </cell>
          <cell r="M35">
            <v>344.85543810000001</v>
          </cell>
        </row>
        <row r="36">
          <cell r="A36">
            <v>0</v>
          </cell>
          <cell r="B36">
            <v>2000</v>
          </cell>
          <cell r="C36">
            <v>1</v>
          </cell>
          <cell r="D36" t="str">
            <v>Production</v>
          </cell>
          <cell r="E36" t="str">
            <v>Gas</v>
          </cell>
          <cell r="F36" t="str">
            <v>CBM</v>
          </cell>
          <cell r="G36" t="str">
            <v>Mannville</v>
          </cell>
          <cell r="H36" t="str">
            <v>Production;Gas;CBM</v>
          </cell>
          <cell r="I36" t="str">
            <v>Gas;CBM;Mannville;0</v>
          </cell>
          <cell r="J36" t="str">
            <v>AB</v>
          </cell>
          <cell r="K36" t="str">
            <v>MEDIUM</v>
          </cell>
          <cell r="L36">
            <v>2</v>
          </cell>
          <cell r="M36">
            <v>10</v>
          </cell>
        </row>
        <row r="37">
          <cell r="A37">
            <v>0</v>
          </cell>
          <cell r="B37">
            <v>2000</v>
          </cell>
          <cell r="C37">
            <v>1</v>
          </cell>
          <cell r="D37" t="str">
            <v>Production</v>
          </cell>
          <cell r="E37" t="str">
            <v>Gas</v>
          </cell>
          <cell r="F37" t="str">
            <v>CBM</v>
          </cell>
          <cell r="G37" t="str">
            <v>Other CBM</v>
          </cell>
          <cell r="H37" t="str">
            <v>Production;Gas;CBM</v>
          </cell>
          <cell r="I37" t="str">
            <v>Gas;CBM;Other CBM;0</v>
          </cell>
          <cell r="J37" t="str">
            <v>AB</v>
          </cell>
          <cell r="K37" t="str">
            <v>Medium</v>
          </cell>
          <cell r="L37">
            <v>3</v>
          </cell>
          <cell r="M37">
            <v>19.548811999999998</v>
          </cell>
        </row>
        <row r="38">
          <cell r="A38">
            <v>0</v>
          </cell>
          <cell r="B38">
            <v>2000</v>
          </cell>
          <cell r="C38">
            <v>1</v>
          </cell>
          <cell r="D38" t="str">
            <v>Production</v>
          </cell>
          <cell r="E38" t="str">
            <v>Gas</v>
          </cell>
          <cell r="F38" t="str">
            <v>CBM</v>
          </cell>
          <cell r="G38" t="str">
            <v>Other CBM</v>
          </cell>
          <cell r="H38" t="str">
            <v>Production;Gas;CBM</v>
          </cell>
          <cell r="I38" t="str">
            <v>Gas;CBM;Other CBM;0</v>
          </cell>
          <cell r="J38" t="str">
            <v>AB</v>
          </cell>
          <cell r="K38" t="str">
            <v>Shallow</v>
          </cell>
          <cell r="L38">
            <v>4</v>
          </cell>
          <cell r="M38">
            <v>5</v>
          </cell>
        </row>
        <row r="39">
          <cell r="A39">
            <v>0</v>
          </cell>
          <cell r="B39">
            <v>2001</v>
          </cell>
          <cell r="C39">
            <v>1</v>
          </cell>
          <cell r="D39" t="str">
            <v>Production</v>
          </cell>
          <cell r="E39" t="str">
            <v>Gas</v>
          </cell>
          <cell r="F39" t="str">
            <v>CBM</v>
          </cell>
          <cell r="G39" t="str">
            <v>Main HSC</v>
          </cell>
          <cell r="H39" t="str">
            <v>Production;Gas;CBM</v>
          </cell>
          <cell r="I39" t="str">
            <v>Gas;CBM;Main HSC;0</v>
          </cell>
          <cell r="J39" t="str">
            <v>AB</v>
          </cell>
          <cell r="K39" t="str">
            <v>Medium</v>
          </cell>
          <cell r="L39">
            <v>13</v>
          </cell>
          <cell r="M39">
            <v>35.516666700000002</v>
          </cell>
        </row>
        <row r="40">
          <cell r="A40">
            <v>0</v>
          </cell>
          <cell r="B40">
            <v>2001</v>
          </cell>
          <cell r="C40">
            <v>1</v>
          </cell>
          <cell r="D40" t="str">
            <v>Production</v>
          </cell>
          <cell r="E40" t="str">
            <v>Gas</v>
          </cell>
          <cell r="F40" t="str">
            <v>CBM</v>
          </cell>
          <cell r="G40" t="str">
            <v>Main HSC</v>
          </cell>
          <cell r="H40" t="str">
            <v>Production;Gas;CBM</v>
          </cell>
          <cell r="I40" t="str">
            <v>Gas;CBM;Main HSC;0</v>
          </cell>
          <cell r="J40" t="str">
            <v>AB</v>
          </cell>
          <cell r="K40" t="str">
            <v>Shallow</v>
          </cell>
          <cell r="L40">
            <v>108</v>
          </cell>
          <cell r="M40">
            <v>491.1961515000001</v>
          </cell>
        </row>
        <row r="41">
          <cell r="A41">
            <v>0</v>
          </cell>
          <cell r="B41">
            <v>2001</v>
          </cell>
          <cell r="C41">
            <v>1</v>
          </cell>
          <cell r="D41" t="str">
            <v>Production</v>
          </cell>
          <cell r="E41" t="str">
            <v>Gas</v>
          </cell>
          <cell r="F41" t="str">
            <v>CBM</v>
          </cell>
          <cell r="G41" t="str">
            <v>Mannville</v>
          </cell>
          <cell r="H41" t="str">
            <v>Production;Gas;CBM</v>
          </cell>
          <cell r="I41" t="str">
            <v>Gas;CBM;Mannville;0</v>
          </cell>
          <cell r="J41" t="str">
            <v>AB</v>
          </cell>
          <cell r="K41" t="str">
            <v>Medium</v>
          </cell>
          <cell r="L41">
            <v>3</v>
          </cell>
          <cell r="M41">
            <v>9.5</v>
          </cell>
        </row>
        <row r="42">
          <cell r="A42">
            <v>0</v>
          </cell>
          <cell r="B42">
            <v>2001</v>
          </cell>
          <cell r="C42">
            <v>1</v>
          </cell>
          <cell r="D42" t="str">
            <v>Production</v>
          </cell>
          <cell r="E42" t="str">
            <v>Gas</v>
          </cell>
          <cell r="F42" t="str">
            <v>CBM</v>
          </cell>
          <cell r="G42" t="str">
            <v>Other CBM</v>
          </cell>
          <cell r="H42" t="str">
            <v>Production;Gas;CBM</v>
          </cell>
          <cell r="I42" t="str">
            <v>Gas;CBM;Other CBM;0</v>
          </cell>
          <cell r="J42" t="str">
            <v>AB</v>
          </cell>
          <cell r="K42" t="str">
            <v>Shallow</v>
          </cell>
          <cell r="L42">
            <v>2</v>
          </cell>
          <cell r="M42">
            <v>10</v>
          </cell>
        </row>
        <row r="43">
          <cell r="A43">
            <v>0</v>
          </cell>
          <cell r="B43">
            <v>2002</v>
          </cell>
          <cell r="C43">
            <v>1</v>
          </cell>
          <cell r="D43" t="str">
            <v>Production</v>
          </cell>
          <cell r="E43" t="str">
            <v>Gas</v>
          </cell>
          <cell r="F43" t="str">
            <v>CBM</v>
          </cell>
          <cell r="G43" t="str">
            <v>Main HSC</v>
          </cell>
          <cell r="H43" t="str">
            <v>Production;Gas;CBM</v>
          </cell>
          <cell r="I43" t="str">
            <v>Gas;CBM;Main HSC;0</v>
          </cell>
          <cell r="J43" t="str">
            <v>AB</v>
          </cell>
          <cell r="K43" t="str">
            <v>Medium</v>
          </cell>
          <cell r="L43">
            <v>10</v>
          </cell>
          <cell r="M43">
            <v>72.666667000000004</v>
          </cell>
        </row>
        <row r="44">
          <cell r="A44">
            <v>0</v>
          </cell>
          <cell r="B44">
            <v>2002</v>
          </cell>
          <cell r="C44">
            <v>1</v>
          </cell>
          <cell r="D44" t="str">
            <v>Production</v>
          </cell>
          <cell r="E44" t="str">
            <v>Gas</v>
          </cell>
          <cell r="F44" t="str">
            <v>CBM</v>
          </cell>
          <cell r="G44" t="str">
            <v>Main HSC</v>
          </cell>
          <cell r="H44" t="str">
            <v>Production;Gas;CBM</v>
          </cell>
          <cell r="I44" t="str">
            <v>Gas;CBM;Main HSC;0</v>
          </cell>
          <cell r="J44" t="str">
            <v>AB</v>
          </cell>
          <cell r="K44" t="str">
            <v>Shallow</v>
          </cell>
          <cell r="L44">
            <v>109</v>
          </cell>
          <cell r="M44">
            <v>414.82458939999992</v>
          </cell>
        </row>
        <row r="45">
          <cell r="A45">
            <v>0</v>
          </cell>
          <cell r="B45">
            <v>2002</v>
          </cell>
          <cell r="C45">
            <v>1</v>
          </cell>
          <cell r="D45" t="str">
            <v>Production</v>
          </cell>
          <cell r="E45" t="str">
            <v>Gas</v>
          </cell>
          <cell r="F45" t="str">
            <v>CBM</v>
          </cell>
          <cell r="G45" t="str">
            <v>Mannville</v>
          </cell>
          <cell r="H45" t="str">
            <v>Production;Gas;CBM</v>
          </cell>
          <cell r="I45" t="str">
            <v>Gas;CBM;Mannville;0</v>
          </cell>
          <cell r="J45" t="str">
            <v>AB</v>
          </cell>
          <cell r="K45" t="str">
            <v>Medium</v>
          </cell>
          <cell r="L45">
            <v>1</v>
          </cell>
          <cell r="M45">
            <v>4</v>
          </cell>
        </row>
        <row r="46">
          <cell r="A46">
            <v>0</v>
          </cell>
          <cell r="B46">
            <v>2002</v>
          </cell>
          <cell r="C46">
            <v>1</v>
          </cell>
          <cell r="D46" t="str">
            <v>Production</v>
          </cell>
          <cell r="E46" t="str">
            <v>Gas</v>
          </cell>
          <cell r="F46" t="str">
            <v>CBM</v>
          </cell>
          <cell r="G46" t="str">
            <v>Mannville</v>
          </cell>
          <cell r="H46" t="str">
            <v>Production;Gas;CBM</v>
          </cell>
          <cell r="I46" t="str">
            <v>Gas;CBM;Mannville;0</v>
          </cell>
          <cell r="J46" t="str">
            <v>AB</v>
          </cell>
          <cell r="K46" t="str">
            <v>SHALLOW</v>
          </cell>
          <cell r="L46">
            <v>1</v>
          </cell>
          <cell r="M46">
            <v>5</v>
          </cell>
        </row>
        <row r="47">
          <cell r="A47">
            <v>0</v>
          </cell>
          <cell r="B47">
            <v>2002</v>
          </cell>
          <cell r="C47">
            <v>1</v>
          </cell>
          <cell r="D47" t="str">
            <v>Production</v>
          </cell>
          <cell r="E47" t="str">
            <v>Gas</v>
          </cell>
          <cell r="F47" t="str">
            <v>CBM</v>
          </cell>
          <cell r="G47" t="str">
            <v>Other CBM</v>
          </cell>
          <cell r="H47" t="str">
            <v>Production;Gas;CBM</v>
          </cell>
          <cell r="I47" t="str">
            <v>Gas;CBM;Other CBM;0</v>
          </cell>
          <cell r="J47" t="str">
            <v>AB</v>
          </cell>
          <cell r="K47" t="str">
            <v>Medium</v>
          </cell>
          <cell r="L47">
            <v>1</v>
          </cell>
          <cell r="M47">
            <v>3</v>
          </cell>
        </row>
        <row r="48">
          <cell r="A48">
            <v>0</v>
          </cell>
          <cell r="B48">
            <v>2002</v>
          </cell>
          <cell r="C48">
            <v>1</v>
          </cell>
          <cell r="D48" t="str">
            <v>Production</v>
          </cell>
          <cell r="E48" t="str">
            <v>Gas</v>
          </cell>
          <cell r="F48" t="str">
            <v>CBM</v>
          </cell>
          <cell r="G48" t="str">
            <v>Other CBM</v>
          </cell>
          <cell r="H48" t="str">
            <v>Production;Gas;CBM</v>
          </cell>
          <cell r="I48" t="str">
            <v>Gas;CBM;Other CBM;0</v>
          </cell>
          <cell r="J48" t="str">
            <v>AB</v>
          </cell>
          <cell r="K48" t="str">
            <v>Shallow</v>
          </cell>
          <cell r="L48">
            <v>5</v>
          </cell>
          <cell r="M48">
            <v>13</v>
          </cell>
        </row>
        <row r="49">
          <cell r="A49">
            <v>0</v>
          </cell>
          <cell r="B49">
            <v>2003</v>
          </cell>
          <cell r="C49">
            <v>1</v>
          </cell>
          <cell r="D49" t="str">
            <v>Production</v>
          </cell>
          <cell r="E49" t="str">
            <v>Gas</v>
          </cell>
          <cell r="F49" t="str">
            <v>CBM</v>
          </cell>
          <cell r="G49" t="str">
            <v>Main HSC</v>
          </cell>
          <cell r="H49" t="str">
            <v>Production;Gas;CBM</v>
          </cell>
          <cell r="I49" t="str">
            <v>Gas;CBM;Main HSC;0</v>
          </cell>
          <cell r="J49" t="str">
            <v>AB</v>
          </cell>
          <cell r="K49" t="str">
            <v>Medium</v>
          </cell>
          <cell r="L49">
            <v>15</v>
          </cell>
          <cell r="M49">
            <v>42.5</v>
          </cell>
        </row>
        <row r="50">
          <cell r="A50">
            <v>0</v>
          </cell>
          <cell r="B50">
            <v>2003</v>
          </cell>
          <cell r="C50">
            <v>1</v>
          </cell>
          <cell r="D50" t="str">
            <v>Production</v>
          </cell>
          <cell r="E50" t="str">
            <v>Gas</v>
          </cell>
          <cell r="F50" t="str">
            <v>CBM</v>
          </cell>
          <cell r="G50" t="str">
            <v>Main HSC</v>
          </cell>
          <cell r="H50" t="str">
            <v>Production;Gas;CBM</v>
          </cell>
          <cell r="I50" t="str">
            <v>Gas;CBM;Main HSC;0</v>
          </cell>
          <cell r="J50" t="str">
            <v>AB</v>
          </cell>
          <cell r="K50" t="str">
            <v>Shallow</v>
          </cell>
          <cell r="L50">
            <v>459</v>
          </cell>
          <cell r="M50">
            <v>874.16111010000122</v>
          </cell>
        </row>
        <row r="51">
          <cell r="A51">
            <v>0</v>
          </cell>
          <cell r="B51">
            <v>2003</v>
          </cell>
          <cell r="C51">
            <v>1</v>
          </cell>
          <cell r="D51" t="str">
            <v>Production</v>
          </cell>
          <cell r="E51" t="str">
            <v>Gas</v>
          </cell>
          <cell r="F51" t="str">
            <v>CBM</v>
          </cell>
          <cell r="G51" t="str">
            <v>Mannville</v>
          </cell>
          <cell r="H51" t="str">
            <v>Production;Gas;CBM</v>
          </cell>
          <cell r="I51" t="str">
            <v>Gas;CBM;Mannville;0</v>
          </cell>
          <cell r="J51" t="str">
            <v>AB</v>
          </cell>
          <cell r="K51" t="str">
            <v>Medium</v>
          </cell>
          <cell r="L51">
            <v>1</v>
          </cell>
          <cell r="M51">
            <v>0.8</v>
          </cell>
        </row>
        <row r="52">
          <cell r="A52">
            <v>0</v>
          </cell>
          <cell r="B52">
            <v>2003</v>
          </cell>
          <cell r="C52">
            <v>1</v>
          </cell>
          <cell r="D52" t="str">
            <v>Production</v>
          </cell>
          <cell r="E52" t="str">
            <v>Gas</v>
          </cell>
          <cell r="F52" t="str">
            <v>CBM</v>
          </cell>
          <cell r="G52" t="str">
            <v>Mannville</v>
          </cell>
          <cell r="H52" t="str">
            <v>Production;Gas;CBM</v>
          </cell>
          <cell r="I52" t="str">
            <v>Gas;CBM;Mannville;0</v>
          </cell>
          <cell r="J52" t="str">
            <v>AB</v>
          </cell>
          <cell r="K52" t="str">
            <v>Shallow</v>
          </cell>
          <cell r="L52">
            <v>2</v>
          </cell>
          <cell r="M52">
            <v>6</v>
          </cell>
        </row>
        <row r="53">
          <cell r="A53">
            <v>0</v>
          </cell>
          <cell r="B53">
            <v>2003</v>
          </cell>
          <cell r="C53">
            <v>1</v>
          </cell>
          <cell r="D53" t="str">
            <v>Production</v>
          </cell>
          <cell r="E53" t="str">
            <v>Gas</v>
          </cell>
          <cell r="F53" t="str">
            <v>CBM</v>
          </cell>
          <cell r="G53" t="str">
            <v>Other CBM</v>
          </cell>
          <cell r="H53" t="str">
            <v>Production;Gas;CBM</v>
          </cell>
          <cell r="I53" t="str">
            <v>Gas;CBM;Other CBM;0</v>
          </cell>
          <cell r="J53" t="str">
            <v>AB</v>
          </cell>
          <cell r="K53" t="str">
            <v>Shallow</v>
          </cell>
          <cell r="L53">
            <v>3</v>
          </cell>
          <cell r="M53">
            <v>15</v>
          </cell>
        </row>
        <row r="54">
          <cell r="A54">
            <v>0</v>
          </cell>
          <cell r="B54">
            <v>2004</v>
          </cell>
          <cell r="C54">
            <v>1</v>
          </cell>
          <cell r="D54" t="str">
            <v>Production</v>
          </cell>
          <cell r="E54" t="str">
            <v>Gas</v>
          </cell>
          <cell r="F54" t="str">
            <v>CBM</v>
          </cell>
          <cell r="G54" t="str">
            <v>Main HSC</v>
          </cell>
          <cell r="H54" t="str">
            <v>Production;Gas;CBM</v>
          </cell>
          <cell r="I54" t="str">
            <v>Gas;CBM;Main HSC;0</v>
          </cell>
          <cell r="J54" t="str">
            <v>AB</v>
          </cell>
          <cell r="K54" t="str">
            <v>Deep</v>
          </cell>
          <cell r="L54">
            <v>1</v>
          </cell>
          <cell r="M54">
            <v>10.5</v>
          </cell>
        </row>
        <row r="55">
          <cell r="A55">
            <v>0</v>
          </cell>
          <cell r="B55">
            <v>2004</v>
          </cell>
          <cell r="C55">
            <v>1</v>
          </cell>
          <cell r="D55" t="str">
            <v>Production</v>
          </cell>
          <cell r="E55" t="str">
            <v>Gas</v>
          </cell>
          <cell r="F55" t="str">
            <v>CBM</v>
          </cell>
          <cell r="G55" t="str">
            <v>Main HSC</v>
          </cell>
          <cell r="H55" t="str">
            <v>Production;Gas;CBM</v>
          </cell>
          <cell r="I55" t="str">
            <v>Gas;CBM;Main HSC;0</v>
          </cell>
          <cell r="J55" t="str">
            <v>AB</v>
          </cell>
          <cell r="K55" t="str">
            <v>Medium</v>
          </cell>
          <cell r="L55">
            <v>15</v>
          </cell>
          <cell r="M55">
            <v>36</v>
          </cell>
        </row>
        <row r="56">
          <cell r="A56">
            <v>0</v>
          </cell>
          <cell r="B56">
            <v>2004</v>
          </cell>
          <cell r="C56">
            <v>1</v>
          </cell>
          <cell r="D56" t="str">
            <v>Production</v>
          </cell>
          <cell r="E56" t="str">
            <v>Gas</v>
          </cell>
          <cell r="F56" t="str">
            <v>CBM</v>
          </cell>
          <cell r="G56" t="str">
            <v>Main HSC</v>
          </cell>
          <cell r="H56" t="str">
            <v>Production;Gas;CBM</v>
          </cell>
          <cell r="I56" t="str">
            <v>Gas;CBM;Main HSC;0</v>
          </cell>
          <cell r="J56" t="str">
            <v>AB</v>
          </cell>
          <cell r="K56" t="str">
            <v>Shallow</v>
          </cell>
          <cell r="L56">
            <v>1032</v>
          </cell>
          <cell r="M56">
            <v>2364.0622073500008</v>
          </cell>
        </row>
        <row r="57">
          <cell r="A57">
            <v>0</v>
          </cell>
          <cell r="B57">
            <v>2004</v>
          </cell>
          <cell r="C57">
            <v>1</v>
          </cell>
          <cell r="D57" t="str">
            <v>Production</v>
          </cell>
          <cell r="E57" t="str">
            <v>Gas</v>
          </cell>
          <cell r="F57" t="str">
            <v>CBM</v>
          </cell>
          <cell r="G57" t="str">
            <v>Mannville</v>
          </cell>
          <cell r="H57" t="str">
            <v>Production;Gas;CBM</v>
          </cell>
          <cell r="I57" t="str">
            <v>Gas;CBM;Mannville;0</v>
          </cell>
          <cell r="J57" t="str">
            <v>AB</v>
          </cell>
          <cell r="K57" t="str">
            <v>Medium</v>
          </cell>
          <cell r="L57">
            <v>2</v>
          </cell>
          <cell r="M57">
            <v>4.1333330000000004</v>
          </cell>
        </row>
        <row r="58">
          <cell r="A58">
            <v>0</v>
          </cell>
          <cell r="B58">
            <v>2004</v>
          </cell>
          <cell r="C58">
            <v>1</v>
          </cell>
          <cell r="D58" t="str">
            <v>Production</v>
          </cell>
          <cell r="E58" t="str">
            <v>Gas</v>
          </cell>
          <cell r="F58" t="str">
            <v>CBM</v>
          </cell>
          <cell r="G58" t="str">
            <v>Mannville</v>
          </cell>
          <cell r="H58" t="str">
            <v>Production;Gas;CBM</v>
          </cell>
          <cell r="I58" t="str">
            <v>Gas;CBM;Mannville;0</v>
          </cell>
          <cell r="J58" t="str">
            <v>AB</v>
          </cell>
          <cell r="K58" t="str">
            <v>Shallow</v>
          </cell>
          <cell r="L58">
            <v>3</v>
          </cell>
          <cell r="M58">
            <v>13.683333000000001</v>
          </cell>
        </row>
        <row r="59">
          <cell r="A59">
            <v>0</v>
          </cell>
          <cell r="B59">
            <v>2004</v>
          </cell>
          <cell r="C59">
            <v>1</v>
          </cell>
          <cell r="D59" t="str">
            <v>Production</v>
          </cell>
          <cell r="E59" t="str">
            <v>Gas</v>
          </cell>
          <cell r="F59" t="str">
            <v>CBM</v>
          </cell>
          <cell r="G59" t="str">
            <v>Other CBM</v>
          </cell>
          <cell r="H59" t="str">
            <v>Production;Gas;CBM</v>
          </cell>
          <cell r="I59" t="str">
            <v>Gas;CBM;Other CBM;0</v>
          </cell>
          <cell r="J59" t="str">
            <v>AB</v>
          </cell>
          <cell r="K59" t="str">
            <v>Medium</v>
          </cell>
          <cell r="L59">
            <v>1</v>
          </cell>
          <cell r="M59">
            <v>4</v>
          </cell>
        </row>
        <row r="60">
          <cell r="A60">
            <v>0</v>
          </cell>
          <cell r="B60">
            <v>2004</v>
          </cell>
          <cell r="C60">
            <v>1</v>
          </cell>
          <cell r="D60" t="str">
            <v>Production</v>
          </cell>
          <cell r="E60" t="str">
            <v>Gas</v>
          </cell>
          <cell r="F60" t="str">
            <v>CBM</v>
          </cell>
          <cell r="G60" t="str">
            <v>Other CBM</v>
          </cell>
          <cell r="H60" t="str">
            <v>Production;Gas;CBM</v>
          </cell>
          <cell r="I60" t="str">
            <v>Gas;CBM;Other CBM;0</v>
          </cell>
          <cell r="J60" t="str">
            <v>AB</v>
          </cell>
          <cell r="K60" t="str">
            <v>Shallow</v>
          </cell>
          <cell r="L60">
            <v>28</v>
          </cell>
          <cell r="M60">
            <v>113.27349110000002</v>
          </cell>
        </row>
        <row r="61">
          <cell r="A61">
            <v>0</v>
          </cell>
          <cell r="B61">
            <v>2004</v>
          </cell>
          <cell r="C61">
            <v>2</v>
          </cell>
          <cell r="D61" t="str">
            <v>Production</v>
          </cell>
          <cell r="E61" t="str">
            <v>Gas</v>
          </cell>
          <cell r="F61" t="str">
            <v>CBM</v>
          </cell>
          <cell r="G61" t="str">
            <v>Main HSC</v>
          </cell>
          <cell r="H61" t="str">
            <v>Production;Gas;CBM</v>
          </cell>
          <cell r="I61" t="str">
            <v>Gas;CBM;Main HSC;0</v>
          </cell>
          <cell r="J61" t="str">
            <v>AB</v>
          </cell>
          <cell r="K61" t="str">
            <v>Shallow</v>
          </cell>
          <cell r="L61">
            <v>1</v>
          </cell>
          <cell r="M61">
            <v>1</v>
          </cell>
        </row>
        <row r="62">
          <cell r="A62">
            <v>0</v>
          </cell>
          <cell r="B62">
            <v>2005</v>
          </cell>
          <cell r="C62">
            <v>1</v>
          </cell>
          <cell r="D62" t="str">
            <v>Production</v>
          </cell>
          <cell r="E62" t="str">
            <v>Gas</v>
          </cell>
          <cell r="F62" t="str">
            <v>CBM</v>
          </cell>
          <cell r="G62" t="str">
            <v>Main HSC</v>
          </cell>
          <cell r="H62" t="str">
            <v>Production;Gas;CBM</v>
          </cell>
          <cell r="I62" t="str">
            <v>Gas;CBM;Main HSC;0</v>
          </cell>
          <cell r="J62" t="str">
            <v>AB</v>
          </cell>
          <cell r="K62" t="str">
            <v>Medium</v>
          </cell>
          <cell r="L62">
            <v>90</v>
          </cell>
          <cell r="M62">
            <v>248.90000049999998</v>
          </cell>
        </row>
        <row r="63">
          <cell r="A63">
            <v>0</v>
          </cell>
          <cell r="B63">
            <v>2005</v>
          </cell>
          <cell r="C63">
            <v>1</v>
          </cell>
          <cell r="D63" t="str">
            <v>Production</v>
          </cell>
          <cell r="E63" t="str">
            <v>Gas</v>
          </cell>
          <cell r="F63" t="str">
            <v>CBM</v>
          </cell>
          <cell r="G63" t="str">
            <v>Main HSC</v>
          </cell>
          <cell r="H63" t="str">
            <v>Production;Gas;CBM</v>
          </cell>
          <cell r="I63" t="str">
            <v>Gas;CBM;Main HSC;0</v>
          </cell>
          <cell r="J63" t="str">
            <v>AB</v>
          </cell>
          <cell r="K63" t="str">
            <v>Shallow</v>
          </cell>
          <cell r="L63">
            <v>1476</v>
          </cell>
          <cell r="M63">
            <v>4145.2654480000065</v>
          </cell>
        </row>
        <row r="64">
          <cell r="A64">
            <v>0</v>
          </cell>
          <cell r="B64">
            <v>2005</v>
          </cell>
          <cell r="C64">
            <v>1</v>
          </cell>
          <cell r="D64" t="str">
            <v>Production</v>
          </cell>
          <cell r="E64" t="str">
            <v>Gas</v>
          </cell>
          <cell r="F64" t="str">
            <v>CBM</v>
          </cell>
          <cell r="G64" t="str">
            <v>Mannville</v>
          </cell>
          <cell r="H64" t="str">
            <v>Production;Gas;CBM</v>
          </cell>
          <cell r="I64" t="str">
            <v>Gas;CBM;Mannville;0</v>
          </cell>
          <cell r="J64" t="str">
            <v>AB</v>
          </cell>
          <cell r="K64" t="str">
            <v>Medium</v>
          </cell>
          <cell r="L64">
            <v>3</v>
          </cell>
          <cell r="M64">
            <v>43</v>
          </cell>
        </row>
        <row r="65">
          <cell r="A65">
            <v>0</v>
          </cell>
          <cell r="B65">
            <v>2005</v>
          </cell>
          <cell r="C65">
            <v>1</v>
          </cell>
          <cell r="D65" t="str">
            <v>Production</v>
          </cell>
          <cell r="E65" t="str">
            <v>Gas</v>
          </cell>
          <cell r="F65" t="str">
            <v>CBM</v>
          </cell>
          <cell r="G65" t="str">
            <v>Mannville</v>
          </cell>
          <cell r="H65" t="str">
            <v>Production;Gas;CBM</v>
          </cell>
          <cell r="I65" t="str">
            <v>Gas;CBM;Mannville;0</v>
          </cell>
          <cell r="J65" t="str">
            <v>AB</v>
          </cell>
          <cell r="K65" t="str">
            <v>Shallow</v>
          </cell>
          <cell r="L65">
            <v>2</v>
          </cell>
          <cell r="M65">
            <v>10.086508</v>
          </cell>
        </row>
        <row r="66">
          <cell r="A66">
            <v>0</v>
          </cell>
          <cell r="B66">
            <v>2005</v>
          </cell>
          <cell r="C66">
            <v>1</v>
          </cell>
          <cell r="D66" t="str">
            <v>Production</v>
          </cell>
          <cell r="E66" t="str">
            <v>Gas</v>
          </cell>
          <cell r="F66" t="str">
            <v>CBM</v>
          </cell>
          <cell r="G66" t="str">
            <v>Other CBM</v>
          </cell>
          <cell r="H66" t="str">
            <v>Production;Gas;CBM</v>
          </cell>
          <cell r="I66" t="str">
            <v>Gas;CBM;Other CBM;0</v>
          </cell>
          <cell r="J66" t="str">
            <v>AB</v>
          </cell>
          <cell r="K66" t="str">
            <v>Deep</v>
          </cell>
          <cell r="L66">
            <v>3</v>
          </cell>
          <cell r="M66">
            <v>8</v>
          </cell>
        </row>
        <row r="67">
          <cell r="A67">
            <v>0</v>
          </cell>
          <cell r="B67">
            <v>2005</v>
          </cell>
          <cell r="C67">
            <v>1</v>
          </cell>
          <cell r="D67" t="str">
            <v>Production</v>
          </cell>
          <cell r="E67" t="str">
            <v>Gas</v>
          </cell>
          <cell r="F67" t="str">
            <v>CBM</v>
          </cell>
          <cell r="G67" t="str">
            <v>Other CBM</v>
          </cell>
          <cell r="H67" t="str">
            <v>Production;Gas;CBM</v>
          </cell>
          <cell r="I67" t="str">
            <v>Gas;CBM;Other CBM;0</v>
          </cell>
          <cell r="J67" t="str">
            <v>AB</v>
          </cell>
          <cell r="K67" t="str">
            <v>Shallow</v>
          </cell>
          <cell r="L67">
            <v>33</v>
          </cell>
          <cell r="M67">
            <v>145.57597800000002</v>
          </cell>
        </row>
        <row r="68">
          <cell r="A68">
            <v>0</v>
          </cell>
          <cell r="B68">
            <v>2006</v>
          </cell>
          <cell r="C68">
            <v>1</v>
          </cell>
          <cell r="D68" t="str">
            <v>Production</v>
          </cell>
          <cell r="E68" t="str">
            <v>Gas</v>
          </cell>
          <cell r="F68" t="str">
            <v>CBM</v>
          </cell>
          <cell r="G68" t="str">
            <v>Main HSC</v>
          </cell>
          <cell r="H68" t="str">
            <v>Production;Gas;CBM</v>
          </cell>
          <cell r="I68" t="str">
            <v>Gas;CBM;Main HSC;0</v>
          </cell>
          <cell r="J68" t="str">
            <v>AB</v>
          </cell>
          <cell r="K68" t="str">
            <v>Deep</v>
          </cell>
          <cell r="L68">
            <v>1</v>
          </cell>
          <cell r="M68">
            <v>4</v>
          </cell>
        </row>
        <row r="69">
          <cell r="A69">
            <v>0</v>
          </cell>
          <cell r="B69">
            <v>2006</v>
          </cell>
          <cell r="C69">
            <v>1</v>
          </cell>
          <cell r="D69" t="str">
            <v>Production</v>
          </cell>
          <cell r="E69" t="str">
            <v>Gas</v>
          </cell>
          <cell r="F69" t="str">
            <v>CBM</v>
          </cell>
          <cell r="G69" t="str">
            <v>Main HSC</v>
          </cell>
          <cell r="H69" t="str">
            <v>Production;Gas;CBM</v>
          </cell>
          <cell r="I69" t="str">
            <v>Gas;CBM;Main HSC;0</v>
          </cell>
          <cell r="J69" t="str">
            <v>AB</v>
          </cell>
          <cell r="K69" t="str">
            <v>Medium</v>
          </cell>
          <cell r="L69">
            <v>38</v>
          </cell>
          <cell r="M69">
            <v>158.76666640000002</v>
          </cell>
        </row>
        <row r="70">
          <cell r="A70">
            <v>0</v>
          </cell>
          <cell r="B70">
            <v>2006</v>
          </cell>
          <cell r="C70">
            <v>1</v>
          </cell>
          <cell r="D70" t="str">
            <v>Production</v>
          </cell>
          <cell r="E70" t="str">
            <v>Gas</v>
          </cell>
          <cell r="F70" t="str">
            <v>CBM</v>
          </cell>
          <cell r="G70" t="str">
            <v>Main HSC</v>
          </cell>
          <cell r="H70" t="str">
            <v>Production;Gas;CBM</v>
          </cell>
          <cell r="I70" t="str">
            <v>Gas;CBM;Main HSC;0</v>
          </cell>
          <cell r="J70" t="str">
            <v>AB</v>
          </cell>
          <cell r="K70" t="str">
            <v>Shallow</v>
          </cell>
          <cell r="L70">
            <v>1101</v>
          </cell>
          <cell r="M70">
            <v>3031.6197100800009</v>
          </cell>
        </row>
        <row r="71">
          <cell r="A71">
            <v>0</v>
          </cell>
          <cell r="B71">
            <v>2006</v>
          </cell>
          <cell r="C71">
            <v>1</v>
          </cell>
          <cell r="D71" t="str">
            <v>Production</v>
          </cell>
          <cell r="E71" t="str">
            <v>Gas</v>
          </cell>
          <cell r="F71" t="str">
            <v>CBM</v>
          </cell>
          <cell r="G71" t="str">
            <v>Mannville</v>
          </cell>
          <cell r="H71" t="str">
            <v>Production;Gas;CBM</v>
          </cell>
          <cell r="I71" t="str">
            <v>Gas;CBM;Mannville;0</v>
          </cell>
          <cell r="J71" t="str">
            <v>AB</v>
          </cell>
          <cell r="K71" t="str">
            <v>Medium</v>
          </cell>
          <cell r="L71">
            <v>5</v>
          </cell>
          <cell r="M71">
            <v>62.5</v>
          </cell>
        </row>
        <row r="72">
          <cell r="A72">
            <v>0</v>
          </cell>
          <cell r="B72">
            <v>2006</v>
          </cell>
          <cell r="C72">
            <v>1</v>
          </cell>
          <cell r="D72" t="str">
            <v>Production</v>
          </cell>
          <cell r="E72" t="str">
            <v>Gas</v>
          </cell>
          <cell r="F72" t="str">
            <v>CBM</v>
          </cell>
          <cell r="G72" t="str">
            <v>Mannville</v>
          </cell>
          <cell r="H72" t="str">
            <v>Production;Gas;CBM</v>
          </cell>
          <cell r="I72" t="str">
            <v>Gas;CBM;Mannville;0</v>
          </cell>
          <cell r="J72" t="str">
            <v>AB</v>
          </cell>
          <cell r="K72" t="str">
            <v>Shallow</v>
          </cell>
          <cell r="L72">
            <v>1</v>
          </cell>
          <cell r="M72">
            <v>3</v>
          </cell>
        </row>
        <row r="73">
          <cell r="A73">
            <v>0</v>
          </cell>
          <cell r="B73">
            <v>2006</v>
          </cell>
          <cell r="C73">
            <v>1</v>
          </cell>
          <cell r="D73" t="str">
            <v>Production</v>
          </cell>
          <cell r="E73" t="str">
            <v>Gas</v>
          </cell>
          <cell r="F73" t="str">
            <v>CBM</v>
          </cell>
          <cell r="G73" t="str">
            <v>Other CBM</v>
          </cell>
          <cell r="H73" t="str">
            <v>Production;Gas;CBM</v>
          </cell>
          <cell r="I73" t="str">
            <v>Gas;CBM;Other CBM;0</v>
          </cell>
          <cell r="J73" t="str">
            <v>AB</v>
          </cell>
          <cell r="K73" t="str">
            <v>Medium</v>
          </cell>
          <cell r="L73">
            <v>3</v>
          </cell>
          <cell r="M73">
            <v>15.5</v>
          </cell>
        </row>
        <row r="74">
          <cell r="A74">
            <v>0</v>
          </cell>
          <cell r="B74">
            <v>2006</v>
          </cell>
          <cell r="C74">
            <v>1</v>
          </cell>
          <cell r="D74" t="str">
            <v>Production</v>
          </cell>
          <cell r="E74" t="str">
            <v>Gas</v>
          </cell>
          <cell r="F74" t="str">
            <v>CBM</v>
          </cell>
          <cell r="G74" t="str">
            <v>Other CBM</v>
          </cell>
          <cell r="H74" t="str">
            <v>Production;Gas;CBM</v>
          </cell>
          <cell r="I74" t="str">
            <v>Gas;CBM;Other CBM;0</v>
          </cell>
          <cell r="J74" t="str">
            <v>AB</v>
          </cell>
          <cell r="K74" t="str">
            <v>Shallow</v>
          </cell>
          <cell r="L74">
            <v>113</v>
          </cell>
          <cell r="M74">
            <v>189.77428449999999</v>
          </cell>
        </row>
        <row r="75">
          <cell r="A75">
            <v>0</v>
          </cell>
          <cell r="B75">
            <v>2007</v>
          </cell>
          <cell r="C75">
            <v>1</v>
          </cell>
          <cell r="D75" t="str">
            <v>Production</v>
          </cell>
          <cell r="E75" t="str">
            <v>Gas</v>
          </cell>
          <cell r="F75" t="str">
            <v>CBM</v>
          </cell>
          <cell r="G75" t="str">
            <v>Main HSC</v>
          </cell>
          <cell r="H75" t="str">
            <v>Production;Gas;CBM</v>
          </cell>
          <cell r="I75" t="str">
            <v>Gas;CBM;Main HSC;0</v>
          </cell>
          <cell r="J75" t="str">
            <v>AB</v>
          </cell>
          <cell r="K75" t="str">
            <v>Medium</v>
          </cell>
          <cell r="L75">
            <v>12</v>
          </cell>
          <cell r="M75">
            <v>63.407935999999999</v>
          </cell>
        </row>
        <row r="76">
          <cell r="A76">
            <v>0</v>
          </cell>
          <cell r="B76">
            <v>2007</v>
          </cell>
          <cell r="C76">
            <v>1</v>
          </cell>
          <cell r="D76" t="str">
            <v>Production</v>
          </cell>
          <cell r="E76" t="str">
            <v>Gas</v>
          </cell>
          <cell r="F76" t="str">
            <v>CBM</v>
          </cell>
          <cell r="G76" t="str">
            <v>Main HSC</v>
          </cell>
          <cell r="H76" t="str">
            <v>Production;Gas;CBM</v>
          </cell>
          <cell r="I76" t="str">
            <v>Gas;CBM;Main HSC;0</v>
          </cell>
          <cell r="J76" t="str">
            <v>AB</v>
          </cell>
          <cell r="K76" t="str">
            <v>Shallow</v>
          </cell>
          <cell r="L76">
            <v>349</v>
          </cell>
          <cell r="M76">
            <v>2617.3030659999995</v>
          </cell>
        </row>
        <row r="77">
          <cell r="A77">
            <v>0</v>
          </cell>
          <cell r="B77">
            <v>2007</v>
          </cell>
          <cell r="C77">
            <v>1</v>
          </cell>
          <cell r="D77" t="str">
            <v>Production</v>
          </cell>
          <cell r="E77" t="str">
            <v>Gas</v>
          </cell>
          <cell r="F77" t="str">
            <v>CBM</v>
          </cell>
          <cell r="G77" t="str">
            <v>Other CBM</v>
          </cell>
          <cell r="H77" t="str">
            <v>Production;Gas;CBM</v>
          </cell>
          <cell r="I77" t="str">
            <v>Gas;CBM;Other CBM;0</v>
          </cell>
          <cell r="J77" t="str">
            <v>AB</v>
          </cell>
          <cell r="K77" t="str">
            <v>Shallow</v>
          </cell>
          <cell r="L77">
            <v>8</v>
          </cell>
          <cell r="M77">
            <v>37</v>
          </cell>
        </row>
        <row r="78">
          <cell r="A78">
            <v>0</v>
          </cell>
          <cell r="B78">
            <v>2001</v>
          </cell>
          <cell r="C78">
            <v>1</v>
          </cell>
          <cell r="D78" t="str">
            <v>Production</v>
          </cell>
          <cell r="E78" t="str">
            <v>Gas</v>
          </cell>
          <cell r="F78" t="str">
            <v>CBM</v>
          </cell>
          <cell r="G78" t="str">
            <v>Mannville</v>
          </cell>
          <cell r="H78" t="str">
            <v>Production;Gas;CBM</v>
          </cell>
          <cell r="I78" t="str">
            <v>Gas;CBM;Mannville;0</v>
          </cell>
          <cell r="J78" t="str">
            <v>AB</v>
          </cell>
          <cell r="K78" t="str">
            <v>Shallow</v>
          </cell>
          <cell r="L78">
            <v>1</v>
          </cell>
          <cell r="M78">
            <v>6</v>
          </cell>
        </row>
        <row r="79">
          <cell r="A79">
            <v>0</v>
          </cell>
          <cell r="B79">
            <v>2002</v>
          </cell>
          <cell r="C79">
            <v>1</v>
          </cell>
          <cell r="D79" t="str">
            <v>Production</v>
          </cell>
          <cell r="E79" t="str">
            <v>Gas</v>
          </cell>
          <cell r="F79" t="str">
            <v>CBM</v>
          </cell>
          <cell r="G79" t="str">
            <v>Mannville</v>
          </cell>
          <cell r="H79" t="str">
            <v>Production;Gas;CBM</v>
          </cell>
          <cell r="I79" t="str">
            <v>Gas;CBM;Mannville;0</v>
          </cell>
          <cell r="J79" t="str">
            <v>AB</v>
          </cell>
          <cell r="K79" t="str">
            <v>SHALLOW</v>
          </cell>
          <cell r="L79">
            <v>4</v>
          </cell>
          <cell r="M79">
            <v>19</v>
          </cell>
        </row>
        <row r="80">
          <cell r="A80">
            <v>0</v>
          </cell>
          <cell r="B80">
            <v>2003</v>
          </cell>
          <cell r="C80">
            <v>1</v>
          </cell>
          <cell r="D80" t="str">
            <v>Production</v>
          </cell>
          <cell r="E80" t="str">
            <v>Gas</v>
          </cell>
          <cell r="F80" t="str">
            <v>CBM</v>
          </cell>
          <cell r="G80" t="str">
            <v>Mannville</v>
          </cell>
          <cell r="H80" t="str">
            <v>Production;Gas;CBM</v>
          </cell>
          <cell r="I80" t="str">
            <v>Gas;CBM;Mannville;0</v>
          </cell>
          <cell r="J80" t="str">
            <v>AB</v>
          </cell>
          <cell r="K80" t="str">
            <v>Shallow</v>
          </cell>
          <cell r="L80">
            <v>3</v>
          </cell>
          <cell r="M80">
            <v>9.8333332999999996</v>
          </cell>
        </row>
        <row r="81">
          <cell r="A81">
            <v>0</v>
          </cell>
          <cell r="B81">
            <v>2004</v>
          </cell>
          <cell r="C81">
            <v>1</v>
          </cell>
          <cell r="D81" t="str">
            <v>Production</v>
          </cell>
          <cell r="E81" t="str">
            <v>Gas</v>
          </cell>
          <cell r="F81" t="str">
            <v>CBM</v>
          </cell>
          <cell r="G81" t="str">
            <v>Mannville</v>
          </cell>
          <cell r="H81" t="str">
            <v>Production;Gas;CBM</v>
          </cell>
          <cell r="I81" t="str">
            <v>Gas;CBM;Mannville;0</v>
          </cell>
          <cell r="J81" t="str">
            <v>AB</v>
          </cell>
          <cell r="K81" t="str">
            <v>Medium</v>
          </cell>
          <cell r="L81">
            <v>2</v>
          </cell>
          <cell r="M81">
            <v>11</v>
          </cell>
        </row>
        <row r="82">
          <cell r="A82">
            <v>0</v>
          </cell>
          <cell r="B82">
            <v>2004</v>
          </cell>
          <cell r="C82">
            <v>1</v>
          </cell>
          <cell r="D82" t="str">
            <v>Production</v>
          </cell>
          <cell r="E82" t="str">
            <v>Gas</v>
          </cell>
          <cell r="F82" t="str">
            <v>CBM</v>
          </cell>
          <cell r="G82" t="str">
            <v>Mannville</v>
          </cell>
          <cell r="H82" t="str">
            <v>Production;Gas;CBM</v>
          </cell>
          <cell r="I82" t="str">
            <v>Gas;CBM;Mannville;0</v>
          </cell>
          <cell r="J82" t="str">
            <v>AB</v>
          </cell>
          <cell r="K82" t="str">
            <v>Shallow</v>
          </cell>
          <cell r="L82">
            <v>6</v>
          </cell>
          <cell r="M82">
            <v>17.199998999999998</v>
          </cell>
        </row>
        <row r="83">
          <cell r="A83">
            <v>0</v>
          </cell>
          <cell r="B83">
            <v>2005</v>
          </cell>
          <cell r="C83">
            <v>1</v>
          </cell>
          <cell r="D83" t="str">
            <v>Production</v>
          </cell>
          <cell r="E83" t="str">
            <v>Gas</v>
          </cell>
          <cell r="F83" t="str">
            <v>CBM</v>
          </cell>
          <cell r="G83" t="str">
            <v>Mannville</v>
          </cell>
          <cell r="H83" t="str">
            <v>Production;Gas;CBM</v>
          </cell>
          <cell r="I83" t="str">
            <v>Gas;CBM;Mannville;0</v>
          </cell>
          <cell r="J83" t="str">
            <v>AB</v>
          </cell>
          <cell r="K83" t="str">
            <v>Medium</v>
          </cell>
          <cell r="L83">
            <v>3</v>
          </cell>
          <cell r="M83">
            <v>36</v>
          </cell>
        </row>
        <row r="84">
          <cell r="A84">
            <v>0</v>
          </cell>
          <cell r="B84">
            <v>2005</v>
          </cell>
          <cell r="C84">
            <v>1</v>
          </cell>
          <cell r="D84" t="str">
            <v>Production</v>
          </cell>
          <cell r="E84" t="str">
            <v>Gas</v>
          </cell>
          <cell r="F84" t="str">
            <v>CBM</v>
          </cell>
          <cell r="G84" t="str">
            <v>Mannville</v>
          </cell>
          <cell r="H84" t="str">
            <v>Production;Gas;CBM</v>
          </cell>
          <cell r="I84" t="str">
            <v>Gas;CBM;Mannville;0</v>
          </cell>
          <cell r="J84" t="str">
            <v>AB</v>
          </cell>
          <cell r="K84" t="str">
            <v>Shallow</v>
          </cell>
          <cell r="L84">
            <v>10</v>
          </cell>
          <cell r="M84">
            <v>25.326874800000006</v>
          </cell>
        </row>
        <row r="85">
          <cell r="A85">
            <v>0</v>
          </cell>
          <cell r="B85">
            <v>2005</v>
          </cell>
          <cell r="C85">
            <v>1</v>
          </cell>
          <cell r="D85" t="str">
            <v>Production</v>
          </cell>
          <cell r="E85" t="str">
            <v>Gas</v>
          </cell>
          <cell r="F85" t="str">
            <v>CBM</v>
          </cell>
          <cell r="G85" t="str">
            <v>Other CBM</v>
          </cell>
          <cell r="H85" t="str">
            <v>Production;Gas;CBM</v>
          </cell>
          <cell r="I85" t="str">
            <v>Gas;CBM;Other CBM;0</v>
          </cell>
          <cell r="J85" t="str">
            <v>AB</v>
          </cell>
          <cell r="K85" t="str">
            <v>Shallow</v>
          </cell>
          <cell r="L85">
            <v>1</v>
          </cell>
          <cell r="M85">
            <v>3</v>
          </cell>
        </row>
        <row r="86">
          <cell r="A86">
            <v>0</v>
          </cell>
          <cell r="B86">
            <v>2006</v>
          </cell>
          <cell r="C86">
            <v>1</v>
          </cell>
          <cell r="D86" t="str">
            <v>Production</v>
          </cell>
          <cell r="E86" t="str">
            <v>Gas</v>
          </cell>
          <cell r="F86" t="str">
            <v>CBM</v>
          </cell>
          <cell r="G86" t="str">
            <v>Mannville</v>
          </cell>
          <cell r="H86" t="str">
            <v>Production;Gas;CBM</v>
          </cell>
          <cell r="I86" t="str">
            <v>Gas;CBM;Mannville;0</v>
          </cell>
          <cell r="J86" t="str">
            <v>AB</v>
          </cell>
          <cell r="K86" t="str">
            <v>Deep</v>
          </cell>
          <cell r="L86">
            <v>1</v>
          </cell>
          <cell r="M86">
            <v>19</v>
          </cell>
        </row>
        <row r="87">
          <cell r="A87">
            <v>0</v>
          </cell>
          <cell r="B87">
            <v>2006</v>
          </cell>
          <cell r="C87">
            <v>1</v>
          </cell>
          <cell r="D87" t="str">
            <v>Production</v>
          </cell>
          <cell r="E87" t="str">
            <v>Gas</v>
          </cell>
          <cell r="F87" t="str">
            <v>CBM</v>
          </cell>
          <cell r="G87" t="str">
            <v>Mannville</v>
          </cell>
          <cell r="H87" t="str">
            <v>Production;Gas;CBM</v>
          </cell>
          <cell r="I87" t="str">
            <v>Gas;CBM;Mannville;0</v>
          </cell>
          <cell r="J87" t="str">
            <v>AB</v>
          </cell>
          <cell r="K87" t="str">
            <v>Medium</v>
          </cell>
          <cell r="L87">
            <v>27</v>
          </cell>
          <cell r="M87">
            <v>112.05</v>
          </cell>
        </row>
        <row r="88">
          <cell r="A88">
            <v>0</v>
          </cell>
          <cell r="B88">
            <v>2006</v>
          </cell>
          <cell r="C88">
            <v>1</v>
          </cell>
          <cell r="D88" t="str">
            <v>Production</v>
          </cell>
          <cell r="E88" t="str">
            <v>Gas</v>
          </cell>
          <cell r="F88" t="str">
            <v>CBM</v>
          </cell>
          <cell r="G88" t="str">
            <v>Mannville</v>
          </cell>
          <cell r="H88" t="str">
            <v>Production;Gas;CBM</v>
          </cell>
          <cell r="I88" t="str">
            <v>Gas;CBM;Mannville;0</v>
          </cell>
          <cell r="J88" t="str">
            <v>AB</v>
          </cell>
          <cell r="K88" t="str">
            <v>Shallow</v>
          </cell>
          <cell r="L88">
            <v>2</v>
          </cell>
          <cell r="M88">
            <v>6</v>
          </cell>
        </row>
        <row r="89">
          <cell r="A89">
            <v>0</v>
          </cell>
          <cell r="B89">
            <v>2007</v>
          </cell>
          <cell r="C89">
            <v>1</v>
          </cell>
          <cell r="D89" t="str">
            <v>Production</v>
          </cell>
          <cell r="E89" t="str">
            <v>Gas</v>
          </cell>
          <cell r="F89" t="str">
            <v>CBM</v>
          </cell>
          <cell r="G89" t="str">
            <v>Mannville</v>
          </cell>
          <cell r="H89" t="str">
            <v>Production;Gas;CBM</v>
          </cell>
          <cell r="I89" t="str">
            <v>Gas;CBM;Mannville;0</v>
          </cell>
          <cell r="J89" t="str">
            <v>AB</v>
          </cell>
          <cell r="K89" t="str">
            <v>Medium</v>
          </cell>
          <cell r="L89">
            <v>2</v>
          </cell>
          <cell r="M89">
            <v>6</v>
          </cell>
        </row>
        <row r="90">
          <cell r="A90">
            <v>0</v>
          </cell>
          <cell r="B90">
            <v>2000</v>
          </cell>
          <cell r="C90">
            <v>1</v>
          </cell>
          <cell r="D90" t="str">
            <v>Production</v>
          </cell>
          <cell r="E90" t="str">
            <v>Gas</v>
          </cell>
          <cell r="F90" t="str">
            <v>CBM</v>
          </cell>
          <cell r="G90" t="str">
            <v>Main HSC</v>
          </cell>
          <cell r="H90" t="str">
            <v>Production;Gas;CBM</v>
          </cell>
          <cell r="I90" t="str">
            <v>Gas;CBM;Main HSC;0</v>
          </cell>
          <cell r="J90" t="str">
            <v>AB</v>
          </cell>
          <cell r="K90" t="str">
            <v>Medium</v>
          </cell>
          <cell r="L90">
            <v>4</v>
          </cell>
          <cell r="M90">
            <v>16</v>
          </cell>
        </row>
        <row r="91">
          <cell r="A91">
            <v>0</v>
          </cell>
          <cell r="B91">
            <v>2000</v>
          </cell>
          <cell r="C91">
            <v>1</v>
          </cell>
          <cell r="D91" t="str">
            <v>Production</v>
          </cell>
          <cell r="E91" t="str">
            <v>Gas</v>
          </cell>
          <cell r="F91" t="str">
            <v>CBM</v>
          </cell>
          <cell r="G91" t="str">
            <v>Main HSC</v>
          </cell>
          <cell r="H91" t="str">
            <v>Production;Gas;CBM</v>
          </cell>
          <cell r="I91" t="str">
            <v>Gas;CBM;Main HSC;0</v>
          </cell>
          <cell r="J91" t="str">
            <v>AB</v>
          </cell>
          <cell r="K91" t="str">
            <v>Shallow</v>
          </cell>
          <cell r="L91">
            <v>13</v>
          </cell>
          <cell r="M91">
            <v>42.994199800000004</v>
          </cell>
        </row>
        <row r="92">
          <cell r="A92">
            <v>0</v>
          </cell>
          <cell r="B92">
            <v>2000</v>
          </cell>
          <cell r="C92">
            <v>1</v>
          </cell>
          <cell r="D92" t="str">
            <v>Production</v>
          </cell>
          <cell r="E92" t="str">
            <v>Gas</v>
          </cell>
          <cell r="F92" t="str">
            <v>CBM</v>
          </cell>
          <cell r="G92" t="str">
            <v>Other CBM</v>
          </cell>
          <cell r="H92" t="str">
            <v>Production;Gas;CBM</v>
          </cell>
          <cell r="I92" t="str">
            <v>Gas;CBM;Other CBM;0</v>
          </cell>
          <cell r="J92" t="str">
            <v>AB</v>
          </cell>
          <cell r="K92" t="str">
            <v>Shallow</v>
          </cell>
          <cell r="L92">
            <v>3</v>
          </cell>
          <cell r="M92">
            <v>5.8333332999999996</v>
          </cell>
        </row>
        <row r="93">
          <cell r="A93">
            <v>0</v>
          </cell>
          <cell r="B93">
            <v>2001</v>
          </cell>
          <cell r="C93">
            <v>1</v>
          </cell>
          <cell r="D93" t="str">
            <v>Production</v>
          </cell>
          <cell r="E93" t="str">
            <v>Gas</v>
          </cell>
          <cell r="F93" t="str">
            <v>CBM</v>
          </cell>
          <cell r="G93" t="str">
            <v>Main HSC</v>
          </cell>
          <cell r="H93" t="str">
            <v>Production;Gas;CBM</v>
          </cell>
          <cell r="I93" t="str">
            <v>Gas;CBM;Main HSC;0</v>
          </cell>
          <cell r="J93" t="str">
            <v>AB</v>
          </cell>
          <cell r="K93" t="str">
            <v>Medium</v>
          </cell>
          <cell r="L93">
            <v>1</v>
          </cell>
          <cell r="M93">
            <v>7</v>
          </cell>
        </row>
        <row r="94">
          <cell r="A94">
            <v>0</v>
          </cell>
          <cell r="B94">
            <v>2001</v>
          </cell>
          <cell r="C94">
            <v>1</v>
          </cell>
          <cell r="D94" t="str">
            <v>Production</v>
          </cell>
          <cell r="E94" t="str">
            <v>Gas</v>
          </cell>
          <cell r="F94" t="str">
            <v>CBM</v>
          </cell>
          <cell r="G94" t="str">
            <v>Main HSC</v>
          </cell>
          <cell r="H94" t="str">
            <v>Production;Gas;CBM</v>
          </cell>
          <cell r="I94" t="str">
            <v>Gas;CBM;Main HSC;0</v>
          </cell>
          <cell r="J94" t="str">
            <v>AB</v>
          </cell>
          <cell r="K94" t="str">
            <v>Shallow</v>
          </cell>
          <cell r="L94">
            <v>14</v>
          </cell>
          <cell r="M94">
            <v>245.6666467</v>
          </cell>
        </row>
        <row r="95">
          <cell r="A95">
            <v>0</v>
          </cell>
          <cell r="B95">
            <v>2001</v>
          </cell>
          <cell r="C95">
            <v>1</v>
          </cell>
          <cell r="D95" t="str">
            <v>Production</v>
          </cell>
          <cell r="E95" t="str">
            <v>Gas</v>
          </cell>
          <cell r="F95" t="str">
            <v>CBM</v>
          </cell>
          <cell r="G95" t="str">
            <v>Mannville</v>
          </cell>
          <cell r="H95" t="str">
            <v>Production;Gas;CBM</v>
          </cell>
          <cell r="I95" t="str">
            <v>Gas;CBM;Mannville;0</v>
          </cell>
          <cell r="J95" t="str">
            <v>AB</v>
          </cell>
          <cell r="K95" t="str">
            <v>DEEP</v>
          </cell>
          <cell r="L95">
            <v>1</v>
          </cell>
          <cell r="M95">
            <v>6</v>
          </cell>
        </row>
        <row r="96">
          <cell r="A96">
            <v>0</v>
          </cell>
          <cell r="B96">
            <v>2001</v>
          </cell>
          <cell r="C96">
            <v>1</v>
          </cell>
          <cell r="D96" t="str">
            <v>Production</v>
          </cell>
          <cell r="E96" t="str">
            <v>Gas</v>
          </cell>
          <cell r="F96" t="str">
            <v>CBM</v>
          </cell>
          <cell r="G96" t="str">
            <v>Mannville</v>
          </cell>
          <cell r="H96" t="str">
            <v>Production;Gas;CBM</v>
          </cell>
          <cell r="I96" t="str">
            <v>Gas;CBM;Mannville;0</v>
          </cell>
          <cell r="J96" t="str">
            <v>AB</v>
          </cell>
          <cell r="K96" t="str">
            <v>Medium</v>
          </cell>
          <cell r="L96">
            <v>7</v>
          </cell>
          <cell r="M96">
            <v>40</v>
          </cell>
        </row>
        <row r="97">
          <cell r="A97">
            <v>0</v>
          </cell>
          <cell r="B97">
            <v>2001</v>
          </cell>
          <cell r="C97">
            <v>1</v>
          </cell>
          <cell r="D97" t="str">
            <v>Production</v>
          </cell>
          <cell r="E97" t="str">
            <v>Gas</v>
          </cell>
          <cell r="F97" t="str">
            <v>CBM</v>
          </cell>
          <cell r="G97" t="str">
            <v>Mannville</v>
          </cell>
          <cell r="H97" t="str">
            <v>Production;Gas;CBM</v>
          </cell>
          <cell r="I97" t="str">
            <v>Gas;CBM;Mannville;0</v>
          </cell>
          <cell r="J97" t="str">
            <v>AB</v>
          </cell>
          <cell r="K97" t="str">
            <v>Shallow</v>
          </cell>
          <cell r="L97">
            <v>2</v>
          </cell>
          <cell r="M97">
            <v>5</v>
          </cell>
        </row>
        <row r="98">
          <cell r="A98">
            <v>0</v>
          </cell>
          <cell r="B98">
            <v>2001</v>
          </cell>
          <cell r="C98">
            <v>1</v>
          </cell>
          <cell r="D98" t="str">
            <v>Production</v>
          </cell>
          <cell r="E98" t="str">
            <v>Gas</v>
          </cell>
          <cell r="F98" t="str">
            <v>CBM</v>
          </cell>
          <cell r="G98" t="str">
            <v>Other CBM</v>
          </cell>
          <cell r="H98" t="str">
            <v>Production;Gas;CBM</v>
          </cell>
          <cell r="I98" t="str">
            <v>Gas;CBM;Other CBM;0</v>
          </cell>
          <cell r="J98" t="str">
            <v>AB</v>
          </cell>
          <cell r="K98" t="str">
            <v>Medium</v>
          </cell>
          <cell r="L98">
            <v>1</v>
          </cell>
          <cell r="M98">
            <v>3</v>
          </cell>
        </row>
        <row r="99">
          <cell r="A99">
            <v>0</v>
          </cell>
          <cell r="B99">
            <v>2001</v>
          </cell>
          <cell r="C99">
            <v>1</v>
          </cell>
          <cell r="D99" t="str">
            <v>Production</v>
          </cell>
          <cell r="E99" t="str">
            <v>Gas</v>
          </cell>
          <cell r="F99" t="str">
            <v>CBM</v>
          </cell>
          <cell r="G99" t="str">
            <v>Other CBM</v>
          </cell>
          <cell r="H99" t="str">
            <v>Production;Gas;CBM</v>
          </cell>
          <cell r="I99" t="str">
            <v>Gas;CBM;Other CBM;0</v>
          </cell>
          <cell r="J99" t="str">
            <v>AB</v>
          </cell>
          <cell r="K99" t="str">
            <v>SHALLOW</v>
          </cell>
          <cell r="L99">
            <v>20</v>
          </cell>
          <cell r="M99">
            <v>48.910714300000002</v>
          </cell>
        </row>
        <row r="100">
          <cell r="A100">
            <v>0</v>
          </cell>
          <cell r="B100">
            <v>2002</v>
          </cell>
          <cell r="C100">
            <v>1</v>
          </cell>
          <cell r="D100" t="str">
            <v>Production</v>
          </cell>
          <cell r="E100" t="str">
            <v>Gas</v>
          </cell>
          <cell r="F100" t="str">
            <v>CBM</v>
          </cell>
          <cell r="G100" t="str">
            <v>Main HSC</v>
          </cell>
          <cell r="H100" t="str">
            <v>Production;Gas;CBM</v>
          </cell>
          <cell r="I100" t="str">
            <v>Gas;CBM;Main HSC;0</v>
          </cell>
          <cell r="J100" t="str">
            <v>AB</v>
          </cell>
          <cell r="K100" t="str">
            <v>Medium</v>
          </cell>
          <cell r="L100">
            <v>8</v>
          </cell>
          <cell r="M100">
            <v>52</v>
          </cell>
        </row>
        <row r="101">
          <cell r="A101">
            <v>0</v>
          </cell>
          <cell r="B101">
            <v>2002</v>
          </cell>
          <cell r="C101">
            <v>1</v>
          </cell>
          <cell r="D101" t="str">
            <v>Production</v>
          </cell>
          <cell r="E101" t="str">
            <v>Gas</v>
          </cell>
          <cell r="F101" t="str">
            <v>CBM</v>
          </cell>
          <cell r="G101" t="str">
            <v>Main HSC</v>
          </cell>
          <cell r="H101" t="str">
            <v>Production;Gas;CBM</v>
          </cell>
          <cell r="I101" t="str">
            <v>Gas;CBM;Main HSC;0</v>
          </cell>
          <cell r="J101" t="str">
            <v>AB</v>
          </cell>
          <cell r="K101" t="str">
            <v>Shallow</v>
          </cell>
          <cell r="L101">
            <v>32</v>
          </cell>
          <cell r="M101">
            <v>204.28329939999998</v>
          </cell>
        </row>
        <row r="102">
          <cell r="A102">
            <v>0</v>
          </cell>
          <cell r="B102">
            <v>2002</v>
          </cell>
          <cell r="C102">
            <v>1</v>
          </cell>
          <cell r="D102" t="str">
            <v>Production</v>
          </cell>
          <cell r="E102" t="str">
            <v>Gas</v>
          </cell>
          <cell r="F102" t="str">
            <v>CBM</v>
          </cell>
          <cell r="G102" t="str">
            <v>Mannville</v>
          </cell>
          <cell r="H102" t="str">
            <v>Production;Gas;CBM</v>
          </cell>
          <cell r="I102" t="str">
            <v>Gas;CBM;Mannville;0</v>
          </cell>
          <cell r="J102" t="str">
            <v>AB</v>
          </cell>
          <cell r="K102" t="str">
            <v>MEDIUM</v>
          </cell>
          <cell r="L102">
            <v>7</v>
          </cell>
          <cell r="M102">
            <v>42</v>
          </cell>
        </row>
        <row r="103">
          <cell r="A103">
            <v>0</v>
          </cell>
          <cell r="B103">
            <v>2002</v>
          </cell>
          <cell r="C103">
            <v>1</v>
          </cell>
          <cell r="D103" t="str">
            <v>Production</v>
          </cell>
          <cell r="E103" t="str">
            <v>Gas</v>
          </cell>
          <cell r="F103" t="str">
            <v>CBM</v>
          </cell>
          <cell r="G103" t="str">
            <v>Mannville</v>
          </cell>
          <cell r="H103" t="str">
            <v>Production;Gas;CBM</v>
          </cell>
          <cell r="I103" t="str">
            <v>Gas;CBM;Mannville;0</v>
          </cell>
          <cell r="J103" t="str">
            <v>AB</v>
          </cell>
          <cell r="K103" t="str">
            <v>SHALLOW</v>
          </cell>
          <cell r="L103">
            <v>14</v>
          </cell>
          <cell r="M103">
            <v>86.066659999999999</v>
          </cell>
        </row>
        <row r="104">
          <cell r="A104">
            <v>0</v>
          </cell>
          <cell r="B104">
            <v>2002</v>
          </cell>
          <cell r="C104">
            <v>1</v>
          </cell>
          <cell r="D104" t="str">
            <v>Production</v>
          </cell>
          <cell r="E104" t="str">
            <v>Gas</v>
          </cell>
          <cell r="F104" t="str">
            <v>CBM</v>
          </cell>
          <cell r="G104" t="str">
            <v>Other CBM</v>
          </cell>
          <cell r="H104" t="str">
            <v>Production;Gas;CBM</v>
          </cell>
          <cell r="I104" t="str">
            <v>Gas;CBM;Other CBM;0</v>
          </cell>
          <cell r="J104" t="str">
            <v>AB</v>
          </cell>
          <cell r="K104" t="str">
            <v>Medium</v>
          </cell>
          <cell r="L104">
            <v>1</v>
          </cell>
          <cell r="M104">
            <v>3</v>
          </cell>
        </row>
        <row r="105">
          <cell r="A105">
            <v>0</v>
          </cell>
          <cell r="B105">
            <v>2002</v>
          </cell>
          <cell r="C105">
            <v>1</v>
          </cell>
          <cell r="D105" t="str">
            <v>Production</v>
          </cell>
          <cell r="E105" t="str">
            <v>Gas</v>
          </cell>
          <cell r="F105" t="str">
            <v>CBM</v>
          </cell>
          <cell r="G105" t="str">
            <v>Other CBM</v>
          </cell>
          <cell r="H105" t="str">
            <v>Production;Gas;CBM</v>
          </cell>
          <cell r="I105" t="str">
            <v>Gas;CBM;Other CBM;0</v>
          </cell>
          <cell r="J105" t="str">
            <v>AB</v>
          </cell>
          <cell r="K105" t="str">
            <v>Shallow</v>
          </cell>
          <cell r="L105">
            <v>27</v>
          </cell>
          <cell r="M105">
            <v>77.400000000000006</v>
          </cell>
        </row>
        <row r="106">
          <cell r="A106">
            <v>0</v>
          </cell>
          <cell r="B106">
            <v>2003</v>
          </cell>
          <cell r="C106">
            <v>1</v>
          </cell>
          <cell r="D106" t="str">
            <v>Production</v>
          </cell>
          <cell r="E106" t="str">
            <v>Gas</v>
          </cell>
          <cell r="F106" t="str">
            <v>CBM</v>
          </cell>
          <cell r="G106" t="str">
            <v>Main HSC</v>
          </cell>
          <cell r="H106" t="str">
            <v>Production;Gas;CBM</v>
          </cell>
          <cell r="I106" t="str">
            <v>Gas;CBM;Main HSC;0</v>
          </cell>
          <cell r="J106" t="str">
            <v>AB</v>
          </cell>
          <cell r="K106" t="str">
            <v>Medium</v>
          </cell>
          <cell r="L106">
            <v>7</v>
          </cell>
          <cell r="M106">
            <v>37</v>
          </cell>
        </row>
        <row r="107">
          <cell r="A107">
            <v>0</v>
          </cell>
          <cell r="B107">
            <v>2003</v>
          </cell>
          <cell r="C107">
            <v>1</v>
          </cell>
          <cell r="D107" t="str">
            <v>Production</v>
          </cell>
          <cell r="E107" t="str">
            <v>Gas</v>
          </cell>
          <cell r="F107" t="str">
            <v>CBM</v>
          </cell>
          <cell r="G107" t="str">
            <v>Main HSC</v>
          </cell>
          <cell r="H107" t="str">
            <v>Production;Gas;CBM</v>
          </cell>
          <cell r="I107" t="str">
            <v>Gas;CBM;Main HSC;0</v>
          </cell>
          <cell r="J107" t="str">
            <v>AB</v>
          </cell>
          <cell r="K107" t="str">
            <v>Shallow</v>
          </cell>
          <cell r="L107">
            <v>86</v>
          </cell>
          <cell r="M107">
            <v>298.46309220000006</v>
          </cell>
        </row>
        <row r="108">
          <cell r="A108">
            <v>0</v>
          </cell>
          <cell r="B108">
            <v>2003</v>
          </cell>
          <cell r="C108">
            <v>1</v>
          </cell>
          <cell r="D108" t="str">
            <v>Production</v>
          </cell>
          <cell r="E108" t="str">
            <v>Gas</v>
          </cell>
          <cell r="F108" t="str">
            <v>CBM</v>
          </cell>
          <cell r="G108" t="str">
            <v>Mannville</v>
          </cell>
          <cell r="H108" t="str">
            <v>Production;Gas;CBM</v>
          </cell>
          <cell r="I108" t="str">
            <v>Gas;CBM;Mannville;0</v>
          </cell>
          <cell r="J108" t="str">
            <v>AB</v>
          </cell>
          <cell r="K108" t="str">
            <v>MEDIUM</v>
          </cell>
          <cell r="L108">
            <v>14</v>
          </cell>
          <cell r="M108">
            <v>105</v>
          </cell>
        </row>
        <row r="109">
          <cell r="A109">
            <v>0</v>
          </cell>
          <cell r="B109">
            <v>2003</v>
          </cell>
          <cell r="C109">
            <v>1</v>
          </cell>
          <cell r="D109" t="str">
            <v>Production</v>
          </cell>
          <cell r="E109" t="str">
            <v>Gas</v>
          </cell>
          <cell r="F109" t="str">
            <v>CBM</v>
          </cell>
          <cell r="G109" t="str">
            <v>Mannville</v>
          </cell>
          <cell r="H109" t="str">
            <v>Production;Gas;CBM</v>
          </cell>
          <cell r="I109" t="str">
            <v>Gas;CBM;Mannville;0</v>
          </cell>
          <cell r="J109" t="str">
            <v>AB</v>
          </cell>
          <cell r="K109" t="str">
            <v>Shallow</v>
          </cell>
          <cell r="L109">
            <v>57</v>
          </cell>
          <cell r="M109">
            <v>644.48090300000013</v>
          </cell>
        </row>
        <row r="110">
          <cell r="A110">
            <v>0</v>
          </cell>
          <cell r="B110">
            <v>2003</v>
          </cell>
          <cell r="C110">
            <v>1</v>
          </cell>
          <cell r="D110" t="str">
            <v>Production</v>
          </cell>
          <cell r="E110" t="str">
            <v>Gas</v>
          </cell>
          <cell r="F110" t="str">
            <v>CBM</v>
          </cell>
          <cell r="G110" t="str">
            <v>Other CBM</v>
          </cell>
          <cell r="H110" t="str">
            <v>Production;Gas;CBM</v>
          </cell>
          <cell r="I110" t="str">
            <v>Gas;CBM;Other CBM;0</v>
          </cell>
          <cell r="J110" t="str">
            <v>AB</v>
          </cell>
          <cell r="K110" t="str">
            <v>MEDIUM</v>
          </cell>
          <cell r="L110">
            <v>5</v>
          </cell>
          <cell r="M110">
            <v>24.83333</v>
          </cell>
        </row>
        <row r="111">
          <cell r="A111">
            <v>0</v>
          </cell>
          <cell r="B111">
            <v>2003</v>
          </cell>
          <cell r="C111">
            <v>1</v>
          </cell>
          <cell r="D111" t="str">
            <v>Production</v>
          </cell>
          <cell r="E111" t="str">
            <v>Gas</v>
          </cell>
          <cell r="F111" t="str">
            <v>CBM</v>
          </cell>
          <cell r="G111" t="str">
            <v>Other CBM</v>
          </cell>
          <cell r="H111" t="str">
            <v>Production;Gas;CBM</v>
          </cell>
          <cell r="I111" t="str">
            <v>Gas;CBM;Other CBM;0</v>
          </cell>
          <cell r="J111" t="str">
            <v>AB</v>
          </cell>
          <cell r="K111" t="str">
            <v>Shallow</v>
          </cell>
          <cell r="L111">
            <v>22</v>
          </cell>
          <cell r="M111">
            <v>58</v>
          </cell>
        </row>
        <row r="112">
          <cell r="A112">
            <v>0</v>
          </cell>
          <cell r="B112">
            <v>2003</v>
          </cell>
          <cell r="C112">
            <v>2</v>
          </cell>
          <cell r="D112" t="str">
            <v>Production</v>
          </cell>
          <cell r="E112" t="str">
            <v>Gas</v>
          </cell>
          <cell r="F112" t="str">
            <v>CBM</v>
          </cell>
          <cell r="G112" t="str">
            <v>Other CBM</v>
          </cell>
          <cell r="H112" t="str">
            <v>Production;Gas;CBM</v>
          </cell>
          <cell r="I112" t="str">
            <v>Gas;CBM;Other CBM;0</v>
          </cell>
          <cell r="J112" t="str">
            <v>AB</v>
          </cell>
          <cell r="K112" t="str">
            <v>Medium</v>
          </cell>
          <cell r="L112">
            <v>1</v>
          </cell>
          <cell r="M112">
            <v>2</v>
          </cell>
        </row>
        <row r="113">
          <cell r="A113">
            <v>0</v>
          </cell>
          <cell r="B113">
            <v>2004</v>
          </cell>
          <cell r="C113">
            <v>1</v>
          </cell>
          <cell r="D113" t="str">
            <v>Production</v>
          </cell>
          <cell r="E113" t="str">
            <v>Gas</v>
          </cell>
          <cell r="F113" t="str">
            <v>CBM</v>
          </cell>
          <cell r="G113" t="str">
            <v>Main HSC</v>
          </cell>
          <cell r="H113" t="str">
            <v>Production;Gas;CBM</v>
          </cell>
          <cell r="I113" t="str">
            <v>Gas;CBM;Main HSC;0</v>
          </cell>
          <cell r="J113" t="str">
            <v>AB</v>
          </cell>
          <cell r="K113" t="str">
            <v>Medium</v>
          </cell>
          <cell r="L113">
            <v>20</v>
          </cell>
          <cell r="M113">
            <v>63.5</v>
          </cell>
        </row>
        <row r="114">
          <cell r="A114">
            <v>0</v>
          </cell>
          <cell r="B114">
            <v>2004</v>
          </cell>
          <cell r="C114">
            <v>1</v>
          </cell>
          <cell r="D114" t="str">
            <v>Production</v>
          </cell>
          <cell r="E114" t="str">
            <v>Gas</v>
          </cell>
          <cell r="F114" t="str">
            <v>CBM</v>
          </cell>
          <cell r="G114" t="str">
            <v>Main HSC</v>
          </cell>
          <cell r="H114" t="str">
            <v>Production;Gas;CBM</v>
          </cell>
          <cell r="I114" t="str">
            <v>Gas;CBM;Main HSC;0</v>
          </cell>
          <cell r="J114" t="str">
            <v>AB</v>
          </cell>
          <cell r="K114" t="str">
            <v>Shallow</v>
          </cell>
          <cell r="L114">
            <v>631</v>
          </cell>
          <cell r="M114">
            <v>1647.7373530000007</v>
          </cell>
        </row>
        <row r="115">
          <cell r="A115">
            <v>0</v>
          </cell>
          <cell r="B115">
            <v>2004</v>
          </cell>
          <cell r="C115">
            <v>1</v>
          </cell>
          <cell r="D115" t="str">
            <v>Production</v>
          </cell>
          <cell r="E115" t="str">
            <v>Gas</v>
          </cell>
          <cell r="F115" t="str">
            <v>CBM</v>
          </cell>
          <cell r="G115" t="str">
            <v>Mannville</v>
          </cell>
          <cell r="H115" t="str">
            <v>Production;Gas;CBM</v>
          </cell>
          <cell r="I115" t="str">
            <v>Gas;CBM;Mannville;0</v>
          </cell>
          <cell r="J115" t="str">
            <v>AB</v>
          </cell>
          <cell r="K115" t="str">
            <v>Deep</v>
          </cell>
          <cell r="L115">
            <v>1</v>
          </cell>
          <cell r="M115">
            <v>5</v>
          </cell>
        </row>
        <row r="116">
          <cell r="A116">
            <v>0</v>
          </cell>
          <cell r="B116">
            <v>2004</v>
          </cell>
          <cell r="C116">
            <v>1</v>
          </cell>
          <cell r="D116" t="str">
            <v>Production</v>
          </cell>
          <cell r="E116" t="str">
            <v>Gas</v>
          </cell>
          <cell r="F116" t="str">
            <v>CBM</v>
          </cell>
          <cell r="G116" t="str">
            <v>Mannville</v>
          </cell>
          <cell r="H116" t="str">
            <v>Production;Gas;CBM</v>
          </cell>
          <cell r="I116" t="str">
            <v>Gas;CBM;Mannville;0</v>
          </cell>
          <cell r="J116" t="str">
            <v>AB</v>
          </cell>
          <cell r="K116" t="str">
            <v>Medium</v>
          </cell>
          <cell r="L116">
            <v>16</v>
          </cell>
          <cell r="M116">
            <v>112.5</v>
          </cell>
        </row>
        <row r="117">
          <cell r="A117">
            <v>0</v>
          </cell>
          <cell r="B117">
            <v>2004</v>
          </cell>
          <cell r="C117">
            <v>1</v>
          </cell>
          <cell r="D117" t="str">
            <v>Production</v>
          </cell>
          <cell r="E117" t="str">
            <v>Gas</v>
          </cell>
          <cell r="F117" t="str">
            <v>CBM</v>
          </cell>
          <cell r="G117" t="str">
            <v>Mannville</v>
          </cell>
          <cell r="H117" t="str">
            <v>Production;Gas;CBM</v>
          </cell>
          <cell r="I117" t="str">
            <v>Gas;CBM;Mannville;0</v>
          </cell>
          <cell r="J117" t="str">
            <v>AB</v>
          </cell>
          <cell r="K117" t="str">
            <v>Shallow</v>
          </cell>
          <cell r="L117">
            <v>54</v>
          </cell>
          <cell r="M117">
            <v>385.24999899999995</v>
          </cell>
        </row>
        <row r="118">
          <cell r="A118">
            <v>0</v>
          </cell>
          <cell r="B118">
            <v>2004</v>
          </cell>
          <cell r="C118">
            <v>1</v>
          </cell>
          <cell r="D118" t="str">
            <v>Production</v>
          </cell>
          <cell r="E118" t="str">
            <v>Gas</v>
          </cell>
          <cell r="F118" t="str">
            <v>CBM</v>
          </cell>
          <cell r="G118" t="str">
            <v>Other CBM</v>
          </cell>
          <cell r="H118" t="str">
            <v>Production;Gas;CBM</v>
          </cell>
          <cell r="I118" t="str">
            <v>Gas;CBM;Other CBM;0</v>
          </cell>
          <cell r="J118" t="str">
            <v>AB</v>
          </cell>
          <cell r="K118" t="str">
            <v>Medium</v>
          </cell>
          <cell r="L118">
            <v>18</v>
          </cell>
          <cell r="M118">
            <v>57</v>
          </cell>
        </row>
        <row r="119">
          <cell r="A119">
            <v>0</v>
          </cell>
          <cell r="B119">
            <v>2004</v>
          </cell>
          <cell r="C119">
            <v>1</v>
          </cell>
          <cell r="D119" t="str">
            <v>Production</v>
          </cell>
          <cell r="E119" t="str">
            <v>Gas</v>
          </cell>
          <cell r="F119" t="str">
            <v>CBM</v>
          </cell>
          <cell r="G119" t="str">
            <v>Other CBM</v>
          </cell>
          <cell r="H119" t="str">
            <v>Production;Gas;CBM</v>
          </cell>
          <cell r="I119" t="str">
            <v>Gas;CBM;Other CBM;0</v>
          </cell>
          <cell r="J119" t="str">
            <v>AB</v>
          </cell>
          <cell r="K119" t="str">
            <v>Shallow</v>
          </cell>
          <cell r="L119">
            <v>33</v>
          </cell>
          <cell r="M119">
            <v>105.8499994</v>
          </cell>
        </row>
        <row r="120">
          <cell r="A120">
            <v>0</v>
          </cell>
          <cell r="B120">
            <v>2004</v>
          </cell>
          <cell r="C120">
            <v>2</v>
          </cell>
          <cell r="D120" t="str">
            <v>Production</v>
          </cell>
          <cell r="E120" t="str">
            <v>Gas</v>
          </cell>
          <cell r="F120" t="str">
            <v>CBM</v>
          </cell>
          <cell r="G120" t="str">
            <v>Main HSC</v>
          </cell>
          <cell r="H120" t="str">
            <v>Production;Gas;CBM</v>
          </cell>
          <cell r="I120" t="str">
            <v>Gas;CBM;Main HSC;0</v>
          </cell>
          <cell r="J120" t="str">
            <v>AB</v>
          </cell>
          <cell r="K120" t="str">
            <v>Shallow</v>
          </cell>
          <cell r="L120">
            <v>1</v>
          </cell>
          <cell r="M120">
            <v>4</v>
          </cell>
        </row>
        <row r="121">
          <cell r="A121">
            <v>0</v>
          </cell>
          <cell r="B121">
            <v>2004</v>
          </cell>
          <cell r="C121">
            <v>2</v>
          </cell>
          <cell r="D121" t="str">
            <v>Production</v>
          </cell>
          <cell r="E121" t="str">
            <v>Gas</v>
          </cell>
          <cell r="F121" t="str">
            <v>CBM</v>
          </cell>
          <cell r="G121" t="str">
            <v>Mannville</v>
          </cell>
          <cell r="H121" t="str">
            <v>Production;Gas;CBM</v>
          </cell>
          <cell r="I121" t="str">
            <v>Gas;CBM;Mannville;0</v>
          </cell>
          <cell r="J121" t="str">
            <v>AB</v>
          </cell>
          <cell r="K121" t="str">
            <v>Medium</v>
          </cell>
          <cell r="L121">
            <v>2</v>
          </cell>
          <cell r="M121">
            <v>13</v>
          </cell>
        </row>
        <row r="122">
          <cell r="A122">
            <v>0</v>
          </cell>
          <cell r="B122">
            <v>2005</v>
          </cell>
          <cell r="C122">
            <v>1</v>
          </cell>
          <cell r="D122" t="str">
            <v>Production</v>
          </cell>
          <cell r="E122" t="str">
            <v>Gas</v>
          </cell>
          <cell r="F122" t="str">
            <v>CBM</v>
          </cell>
          <cell r="G122" t="str">
            <v>Main HSC</v>
          </cell>
          <cell r="H122" t="str">
            <v>Production;Gas;CBM</v>
          </cell>
          <cell r="I122" t="str">
            <v>Gas;CBM;Main HSC;0</v>
          </cell>
          <cell r="J122" t="str">
            <v>AB</v>
          </cell>
          <cell r="K122" t="str">
            <v>Deep</v>
          </cell>
          <cell r="L122">
            <v>2</v>
          </cell>
          <cell r="M122">
            <v>15</v>
          </cell>
        </row>
        <row r="123">
          <cell r="A123">
            <v>0</v>
          </cell>
          <cell r="B123">
            <v>2005</v>
          </cell>
          <cell r="C123">
            <v>1</v>
          </cell>
          <cell r="D123" t="str">
            <v>Production</v>
          </cell>
          <cell r="E123" t="str">
            <v>Gas</v>
          </cell>
          <cell r="F123" t="str">
            <v>CBM</v>
          </cell>
          <cell r="G123" t="str">
            <v>Main HSC</v>
          </cell>
          <cell r="H123" t="str">
            <v>Production;Gas;CBM</v>
          </cell>
          <cell r="I123" t="str">
            <v>Gas;CBM;Main HSC;0</v>
          </cell>
          <cell r="J123" t="str">
            <v>AB</v>
          </cell>
          <cell r="K123" t="str">
            <v>Medium</v>
          </cell>
          <cell r="L123">
            <v>47</v>
          </cell>
          <cell r="M123">
            <v>109.03717940000004</v>
          </cell>
        </row>
        <row r="124">
          <cell r="A124">
            <v>0</v>
          </cell>
          <cell r="B124">
            <v>2005</v>
          </cell>
          <cell r="C124">
            <v>1</v>
          </cell>
          <cell r="D124" t="str">
            <v>Production</v>
          </cell>
          <cell r="E124" t="str">
            <v>Gas</v>
          </cell>
          <cell r="F124" t="str">
            <v>CBM</v>
          </cell>
          <cell r="G124" t="str">
            <v>Main HSC</v>
          </cell>
          <cell r="H124" t="str">
            <v>Production;Gas;CBM</v>
          </cell>
          <cell r="I124" t="str">
            <v>Gas;CBM;Main HSC;0</v>
          </cell>
          <cell r="J124" t="str">
            <v>AB</v>
          </cell>
          <cell r="K124" t="str">
            <v>Shallow</v>
          </cell>
          <cell r="L124">
            <v>1152</v>
          </cell>
          <cell r="M124">
            <v>2670.0562820200025</v>
          </cell>
        </row>
        <row r="125">
          <cell r="A125">
            <v>0</v>
          </cell>
          <cell r="B125">
            <v>2005</v>
          </cell>
          <cell r="C125">
            <v>1</v>
          </cell>
          <cell r="D125" t="str">
            <v>Production</v>
          </cell>
          <cell r="E125" t="str">
            <v>Gas</v>
          </cell>
          <cell r="F125" t="str">
            <v>CBM</v>
          </cell>
          <cell r="G125" t="str">
            <v>Mannville</v>
          </cell>
          <cell r="H125" t="str">
            <v>Production;Gas;CBM</v>
          </cell>
          <cell r="I125" t="str">
            <v>Gas;CBM;Mannville;0</v>
          </cell>
          <cell r="J125" t="str">
            <v>AB</v>
          </cell>
          <cell r="K125" t="str">
            <v>Deep</v>
          </cell>
          <cell r="L125">
            <v>8</v>
          </cell>
          <cell r="M125">
            <v>124.499996</v>
          </cell>
        </row>
        <row r="126">
          <cell r="A126">
            <v>0</v>
          </cell>
          <cell r="B126">
            <v>2005</v>
          </cell>
          <cell r="C126">
            <v>1</v>
          </cell>
          <cell r="D126" t="str">
            <v>Production</v>
          </cell>
          <cell r="E126" t="str">
            <v>Gas</v>
          </cell>
          <cell r="F126" t="str">
            <v>CBM</v>
          </cell>
          <cell r="G126" t="str">
            <v>Mannville</v>
          </cell>
          <cell r="H126" t="str">
            <v>Production;Gas;CBM</v>
          </cell>
          <cell r="I126" t="str">
            <v>Gas;CBM;Mannville;0</v>
          </cell>
          <cell r="J126" t="str">
            <v>AB</v>
          </cell>
          <cell r="K126" t="str">
            <v>Medium</v>
          </cell>
          <cell r="L126">
            <v>91</v>
          </cell>
          <cell r="M126">
            <v>1169.241743</v>
          </cell>
        </row>
        <row r="127">
          <cell r="A127">
            <v>0</v>
          </cell>
          <cell r="B127">
            <v>2005</v>
          </cell>
          <cell r="C127">
            <v>1</v>
          </cell>
          <cell r="D127" t="str">
            <v>Production</v>
          </cell>
          <cell r="E127" t="str">
            <v>Gas</v>
          </cell>
          <cell r="F127" t="str">
            <v>CBM</v>
          </cell>
          <cell r="G127" t="str">
            <v>Mannville</v>
          </cell>
          <cell r="H127" t="str">
            <v>Production;Gas;CBM</v>
          </cell>
          <cell r="I127" t="str">
            <v>Gas;CBM;Mannville;0</v>
          </cell>
          <cell r="J127" t="str">
            <v>AB</v>
          </cell>
          <cell r="K127" t="str">
            <v>Shallow</v>
          </cell>
          <cell r="L127">
            <v>28</v>
          </cell>
          <cell r="M127">
            <v>180.98257129999999</v>
          </cell>
        </row>
        <row r="128">
          <cell r="A128">
            <v>0</v>
          </cell>
          <cell r="B128">
            <v>2005</v>
          </cell>
          <cell r="C128">
            <v>1</v>
          </cell>
          <cell r="D128" t="str">
            <v>Production</v>
          </cell>
          <cell r="E128" t="str">
            <v>Gas</v>
          </cell>
          <cell r="F128" t="str">
            <v>CBM</v>
          </cell>
          <cell r="G128" t="str">
            <v>Other CBM</v>
          </cell>
          <cell r="H128" t="str">
            <v>Production;Gas;CBM</v>
          </cell>
          <cell r="I128" t="str">
            <v>Gas;CBM;Other CBM;0</v>
          </cell>
          <cell r="J128" t="str">
            <v>AB</v>
          </cell>
          <cell r="K128" t="str">
            <v>Deep</v>
          </cell>
          <cell r="L128">
            <v>1</v>
          </cell>
          <cell r="M128">
            <v>1.5</v>
          </cell>
        </row>
        <row r="129">
          <cell r="A129">
            <v>0</v>
          </cell>
          <cell r="B129">
            <v>2005</v>
          </cell>
          <cell r="C129">
            <v>1</v>
          </cell>
          <cell r="D129" t="str">
            <v>Production</v>
          </cell>
          <cell r="E129" t="str">
            <v>Gas</v>
          </cell>
          <cell r="F129" t="str">
            <v>CBM</v>
          </cell>
          <cell r="G129" t="str">
            <v>Other CBM</v>
          </cell>
          <cell r="H129" t="str">
            <v>Production;Gas;CBM</v>
          </cell>
          <cell r="I129" t="str">
            <v>Gas;CBM;Other CBM;0</v>
          </cell>
          <cell r="J129" t="str">
            <v>AB</v>
          </cell>
          <cell r="K129" t="str">
            <v>Medium</v>
          </cell>
          <cell r="L129">
            <v>75</v>
          </cell>
          <cell r="M129">
            <v>295.25591550000007</v>
          </cell>
        </row>
        <row r="130">
          <cell r="A130">
            <v>0</v>
          </cell>
          <cell r="B130">
            <v>2005</v>
          </cell>
          <cell r="C130">
            <v>1</v>
          </cell>
          <cell r="D130" t="str">
            <v>Production</v>
          </cell>
          <cell r="E130" t="str">
            <v>Gas</v>
          </cell>
          <cell r="F130" t="str">
            <v>CBM</v>
          </cell>
          <cell r="G130" t="str">
            <v>Other CBM</v>
          </cell>
          <cell r="H130" t="str">
            <v>Production;Gas;CBM</v>
          </cell>
          <cell r="I130" t="str">
            <v>Gas;CBM;Other CBM;0</v>
          </cell>
          <cell r="J130" t="str">
            <v>AB</v>
          </cell>
          <cell r="K130" t="str">
            <v>Shallow</v>
          </cell>
          <cell r="L130">
            <v>65</v>
          </cell>
          <cell r="M130">
            <v>297.26866390000009</v>
          </cell>
        </row>
        <row r="131">
          <cell r="A131">
            <v>0</v>
          </cell>
          <cell r="B131">
            <v>2005</v>
          </cell>
          <cell r="C131">
            <v>2</v>
          </cell>
          <cell r="D131" t="str">
            <v>Production</v>
          </cell>
          <cell r="E131" t="str">
            <v>Gas</v>
          </cell>
          <cell r="F131" t="str">
            <v>CBM</v>
          </cell>
          <cell r="G131" t="str">
            <v>Mannville</v>
          </cell>
          <cell r="H131" t="str">
            <v>Production;Gas;CBM</v>
          </cell>
          <cell r="I131" t="str">
            <v>Gas;CBM;Mannville;0</v>
          </cell>
          <cell r="J131" t="str">
            <v>AB</v>
          </cell>
          <cell r="K131" t="str">
            <v>Deep</v>
          </cell>
          <cell r="L131">
            <v>1</v>
          </cell>
          <cell r="M131">
            <v>3.1666669999999999</v>
          </cell>
        </row>
        <row r="132">
          <cell r="A132">
            <v>0</v>
          </cell>
          <cell r="B132">
            <v>2005</v>
          </cell>
          <cell r="C132">
            <v>2</v>
          </cell>
          <cell r="D132" t="str">
            <v>Production</v>
          </cell>
          <cell r="E132" t="str">
            <v>Gas</v>
          </cell>
          <cell r="F132" t="str">
            <v>CBM</v>
          </cell>
          <cell r="G132" t="str">
            <v>Mannville</v>
          </cell>
          <cell r="H132" t="str">
            <v>Production;Gas;CBM</v>
          </cell>
          <cell r="I132" t="str">
            <v>Gas;CBM;Mannville;0</v>
          </cell>
          <cell r="J132" t="str">
            <v>AB</v>
          </cell>
          <cell r="K132" t="str">
            <v>Medium</v>
          </cell>
          <cell r="L132">
            <v>1</v>
          </cell>
          <cell r="M132">
            <v>34</v>
          </cell>
        </row>
        <row r="133">
          <cell r="A133">
            <v>0</v>
          </cell>
          <cell r="B133">
            <v>2005</v>
          </cell>
          <cell r="C133">
            <v>2</v>
          </cell>
          <cell r="D133" t="str">
            <v>Production</v>
          </cell>
          <cell r="E133" t="str">
            <v>Gas</v>
          </cell>
          <cell r="F133" t="str">
            <v>CBM</v>
          </cell>
          <cell r="G133" t="str">
            <v>Mannville</v>
          </cell>
          <cell r="H133" t="str">
            <v>Production;Gas;CBM</v>
          </cell>
          <cell r="I133" t="str">
            <v>Gas;CBM;Mannville;0</v>
          </cell>
          <cell r="J133" t="str">
            <v>AB</v>
          </cell>
          <cell r="K133" t="str">
            <v>Shallow</v>
          </cell>
          <cell r="L133">
            <v>1</v>
          </cell>
          <cell r="M133">
            <v>2.3333330000000001</v>
          </cell>
        </row>
        <row r="134">
          <cell r="A134">
            <v>0</v>
          </cell>
          <cell r="B134">
            <v>2006</v>
          </cell>
          <cell r="C134">
            <v>1</v>
          </cell>
          <cell r="D134" t="str">
            <v>Production</v>
          </cell>
          <cell r="E134" t="str">
            <v>Gas</v>
          </cell>
          <cell r="F134" t="str">
            <v>CBM</v>
          </cell>
          <cell r="G134" t="str">
            <v>Main HSC</v>
          </cell>
          <cell r="H134" t="str">
            <v>Production;Gas;CBM</v>
          </cell>
          <cell r="I134" t="str">
            <v>Gas;CBM;Main HSC;0</v>
          </cell>
          <cell r="J134" t="str">
            <v>AB</v>
          </cell>
          <cell r="K134" t="str">
            <v>Medium</v>
          </cell>
          <cell r="L134">
            <v>34</v>
          </cell>
          <cell r="M134">
            <v>210</v>
          </cell>
        </row>
        <row r="135">
          <cell r="A135">
            <v>0</v>
          </cell>
          <cell r="B135">
            <v>2006</v>
          </cell>
          <cell r="C135">
            <v>1</v>
          </cell>
          <cell r="D135" t="str">
            <v>Production</v>
          </cell>
          <cell r="E135" t="str">
            <v>Gas</v>
          </cell>
          <cell r="F135" t="str">
            <v>CBM</v>
          </cell>
          <cell r="G135" t="str">
            <v>Main HSC</v>
          </cell>
          <cell r="H135" t="str">
            <v>Production;Gas;CBM</v>
          </cell>
          <cell r="I135" t="str">
            <v>Gas;CBM;Main HSC;0</v>
          </cell>
          <cell r="J135" t="str">
            <v>AB</v>
          </cell>
          <cell r="K135" t="str">
            <v>SHALLOW</v>
          </cell>
          <cell r="L135">
            <v>792</v>
          </cell>
          <cell r="M135">
            <v>2259.4213268000021</v>
          </cell>
        </row>
        <row r="136">
          <cell r="A136">
            <v>0</v>
          </cell>
          <cell r="B136">
            <v>2006</v>
          </cell>
          <cell r="C136">
            <v>1</v>
          </cell>
          <cell r="D136" t="str">
            <v>Production</v>
          </cell>
          <cell r="E136" t="str">
            <v>Gas</v>
          </cell>
          <cell r="F136" t="str">
            <v>CBM</v>
          </cell>
          <cell r="G136" t="str">
            <v>Mannville</v>
          </cell>
          <cell r="H136" t="str">
            <v>Production;Gas;CBM</v>
          </cell>
          <cell r="I136" t="str">
            <v>Gas;CBM;Mannville;0</v>
          </cell>
          <cell r="J136" t="str">
            <v>AB</v>
          </cell>
          <cell r="K136" t="str">
            <v>Deep</v>
          </cell>
          <cell r="L136">
            <v>28</v>
          </cell>
          <cell r="M136">
            <v>526.49047400000006</v>
          </cell>
        </row>
        <row r="137">
          <cell r="A137">
            <v>0</v>
          </cell>
          <cell r="B137">
            <v>2006</v>
          </cell>
          <cell r="C137">
            <v>1</v>
          </cell>
          <cell r="D137" t="str">
            <v>Production</v>
          </cell>
          <cell r="E137" t="str">
            <v>Gas</v>
          </cell>
          <cell r="F137" t="str">
            <v>CBM</v>
          </cell>
          <cell r="G137" t="str">
            <v>Mannville</v>
          </cell>
          <cell r="H137" t="str">
            <v>Production;Gas;CBM</v>
          </cell>
          <cell r="I137" t="str">
            <v>Gas;CBM;Mannville;0</v>
          </cell>
          <cell r="J137" t="str">
            <v>AB</v>
          </cell>
          <cell r="K137" t="str">
            <v>Medium</v>
          </cell>
          <cell r="L137">
            <v>140</v>
          </cell>
          <cell r="M137">
            <v>3101.7833306999992</v>
          </cell>
        </row>
        <row r="138">
          <cell r="A138">
            <v>0</v>
          </cell>
          <cell r="B138">
            <v>2006</v>
          </cell>
          <cell r="C138">
            <v>1</v>
          </cell>
          <cell r="D138" t="str">
            <v>Production</v>
          </cell>
          <cell r="E138" t="str">
            <v>Gas</v>
          </cell>
          <cell r="F138" t="str">
            <v>CBM</v>
          </cell>
          <cell r="G138" t="str">
            <v>Mannville</v>
          </cell>
          <cell r="H138" t="str">
            <v>Production;Gas;CBM</v>
          </cell>
          <cell r="I138" t="str">
            <v>Gas;CBM;Mannville;0</v>
          </cell>
          <cell r="J138" t="str">
            <v>AB</v>
          </cell>
          <cell r="K138" t="str">
            <v>Shallow</v>
          </cell>
          <cell r="L138">
            <v>19</v>
          </cell>
          <cell r="M138">
            <v>385.19527499999998</v>
          </cell>
        </row>
        <row r="139">
          <cell r="A139">
            <v>0</v>
          </cell>
          <cell r="B139">
            <v>2006</v>
          </cell>
          <cell r="C139">
            <v>1</v>
          </cell>
          <cell r="D139" t="str">
            <v>Production</v>
          </cell>
          <cell r="E139" t="str">
            <v>Gas</v>
          </cell>
          <cell r="F139" t="str">
            <v>CBM</v>
          </cell>
          <cell r="G139" t="str">
            <v>Other CBM</v>
          </cell>
          <cell r="H139" t="str">
            <v>Production;Gas;CBM</v>
          </cell>
          <cell r="I139" t="str">
            <v>Gas;CBM;Other CBM;0</v>
          </cell>
          <cell r="J139" t="str">
            <v>AB</v>
          </cell>
          <cell r="K139" t="str">
            <v>Medium</v>
          </cell>
          <cell r="L139">
            <v>52</v>
          </cell>
          <cell r="M139">
            <v>192.79684409000004</v>
          </cell>
        </row>
        <row r="140">
          <cell r="A140">
            <v>0</v>
          </cell>
          <cell r="B140">
            <v>2006</v>
          </cell>
          <cell r="C140">
            <v>1</v>
          </cell>
          <cell r="D140" t="str">
            <v>Production</v>
          </cell>
          <cell r="E140" t="str">
            <v>Gas</v>
          </cell>
          <cell r="F140" t="str">
            <v>CBM</v>
          </cell>
          <cell r="G140" t="str">
            <v>Other CBM</v>
          </cell>
          <cell r="H140" t="str">
            <v>Production;Gas;CBM</v>
          </cell>
          <cell r="I140" t="str">
            <v>Gas;CBM;Other CBM;0</v>
          </cell>
          <cell r="J140" t="str">
            <v>AB</v>
          </cell>
          <cell r="K140" t="str">
            <v>Shallow</v>
          </cell>
          <cell r="L140">
            <v>97</v>
          </cell>
          <cell r="M140">
            <v>213.78412580000003</v>
          </cell>
        </row>
        <row r="141">
          <cell r="A141">
            <v>0</v>
          </cell>
          <cell r="B141">
            <v>2006</v>
          </cell>
          <cell r="C141">
            <v>2</v>
          </cell>
          <cell r="D141" t="str">
            <v>Production</v>
          </cell>
          <cell r="E141" t="str">
            <v>Gas</v>
          </cell>
          <cell r="F141" t="str">
            <v>CBM</v>
          </cell>
          <cell r="G141" t="str">
            <v>Mannville</v>
          </cell>
          <cell r="H141" t="str">
            <v>Production;Gas;CBM</v>
          </cell>
          <cell r="I141" t="str">
            <v>Gas;CBM;Mannville;0</v>
          </cell>
          <cell r="J141" t="str">
            <v>AB</v>
          </cell>
          <cell r="K141" t="str">
            <v>Medium</v>
          </cell>
          <cell r="L141">
            <v>3</v>
          </cell>
          <cell r="M141">
            <v>20</v>
          </cell>
        </row>
        <row r="142">
          <cell r="A142">
            <v>0</v>
          </cell>
          <cell r="B142">
            <v>2007</v>
          </cell>
          <cell r="C142">
            <v>1</v>
          </cell>
          <cell r="D142" t="str">
            <v>Production</v>
          </cell>
          <cell r="E142" t="str">
            <v>Gas</v>
          </cell>
          <cell r="F142" t="str">
            <v>CBM</v>
          </cell>
          <cell r="G142" t="str">
            <v>Main HSC</v>
          </cell>
          <cell r="H142" t="str">
            <v>Production;Gas;CBM</v>
          </cell>
          <cell r="I142" t="str">
            <v>Gas;CBM;Main HSC;0</v>
          </cell>
          <cell r="J142" t="str">
            <v>AB</v>
          </cell>
          <cell r="K142" t="str">
            <v>Medium</v>
          </cell>
          <cell r="L142">
            <v>14</v>
          </cell>
          <cell r="M142">
            <v>54</v>
          </cell>
        </row>
        <row r="143">
          <cell r="A143">
            <v>0</v>
          </cell>
          <cell r="B143">
            <v>2007</v>
          </cell>
          <cell r="C143">
            <v>1</v>
          </cell>
          <cell r="D143" t="str">
            <v>Production</v>
          </cell>
          <cell r="E143" t="str">
            <v>Gas</v>
          </cell>
          <cell r="F143" t="str">
            <v>CBM</v>
          </cell>
          <cell r="G143" t="str">
            <v>Main HSC</v>
          </cell>
          <cell r="H143" t="str">
            <v>Production;Gas;CBM</v>
          </cell>
          <cell r="I143" t="str">
            <v>Gas;CBM;Main HSC;0</v>
          </cell>
          <cell r="J143" t="str">
            <v>AB</v>
          </cell>
          <cell r="K143" t="str">
            <v>Shallow</v>
          </cell>
          <cell r="L143">
            <v>124</v>
          </cell>
          <cell r="M143">
            <v>629.68412999999998</v>
          </cell>
        </row>
        <row r="144">
          <cell r="A144">
            <v>0</v>
          </cell>
          <cell r="B144">
            <v>2007</v>
          </cell>
          <cell r="C144">
            <v>1</v>
          </cell>
          <cell r="D144" t="str">
            <v>Production</v>
          </cell>
          <cell r="E144" t="str">
            <v>Gas</v>
          </cell>
          <cell r="F144" t="str">
            <v>CBM</v>
          </cell>
          <cell r="G144" t="str">
            <v>Mannville</v>
          </cell>
          <cell r="H144" t="str">
            <v>Production;Gas;CBM</v>
          </cell>
          <cell r="I144" t="str">
            <v>Gas;CBM;Mannville;0</v>
          </cell>
          <cell r="J144" t="str">
            <v>AB</v>
          </cell>
          <cell r="K144" t="str">
            <v>Deep</v>
          </cell>
          <cell r="L144">
            <v>5</v>
          </cell>
          <cell r="M144">
            <v>101</v>
          </cell>
        </row>
        <row r="145">
          <cell r="A145">
            <v>0</v>
          </cell>
          <cell r="B145">
            <v>2007</v>
          </cell>
          <cell r="C145">
            <v>1</v>
          </cell>
          <cell r="D145" t="str">
            <v>Production</v>
          </cell>
          <cell r="E145" t="str">
            <v>Gas</v>
          </cell>
          <cell r="F145" t="str">
            <v>CBM</v>
          </cell>
          <cell r="G145" t="str">
            <v>Mannville</v>
          </cell>
          <cell r="H145" t="str">
            <v>Production;Gas;CBM</v>
          </cell>
          <cell r="I145" t="str">
            <v>Gas;CBM;Mannville;0</v>
          </cell>
          <cell r="J145" t="str">
            <v>AB</v>
          </cell>
          <cell r="K145" t="str">
            <v>Medium</v>
          </cell>
          <cell r="L145">
            <v>6</v>
          </cell>
          <cell r="M145">
            <v>65</v>
          </cell>
        </row>
        <row r="146">
          <cell r="A146">
            <v>0</v>
          </cell>
          <cell r="B146">
            <v>2007</v>
          </cell>
          <cell r="C146">
            <v>1</v>
          </cell>
          <cell r="D146" t="str">
            <v>Production</v>
          </cell>
          <cell r="E146" t="str">
            <v>Gas</v>
          </cell>
          <cell r="F146" t="str">
            <v>CBM</v>
          </cell>
          <cell r="G146" t="str">
            <v>Other CBM</v>
          </cell>
          <cell r="H146" t="str">
            <v>Production;Gas;CBM</v>
          </cell>
          <cell r="I146" t="str">
            <v>Gas;CBM;Other CBM;0</v>
          </cell>
          <cell r="J146" t="str">
            <v>AB</v>
          </cell>
          <cell r="K146" t="str">
            <v>Medium</v>
          </cell>
          <cell r="L146">
            <v>15</v>
          </cell>
          <cell r="M146">
            <v>296</v>
          </cell>
        </row>
        <row r="147">
          <cell r="A147">
            <v>0</v>
          </cell>
          <cell r="B147">
            <v>2007</v>
          </cell>
          <cell r="C147">
            <v>1</v>
          </cell>
          <cell r="D147" t="str">
            <v>Production</v>
          </cell>
          <cell r="E147" t="str">
            <v>Gas</v>
          </cell>
          <cell r="F147" t="str">
            <v>CBM</v>
          </cell>
          <cell r="G147" t="str">
            <v>Other CBM</v>
          </cell>
          <cell r="H147" t="str">
            <v>Production;Gas;CBM</v>
          </cell>
          <cell r="I147" t="str">
            <v>Gas;CBM;Other CBM;0</v>
          </cell>
          <cell r="J147" t="str">
            <v>AB</v>
          </cell>
          <cell r="K147" t="str">
            <v>Shallow</v>
          </cell>
          <cell r="L147">
            <v>11</v>
          </cell>
          <cell r="M147">
            <v>21.3333333</v>
          </cell>
        </row>
        <row r="148">
          <cell r="A148">
            <v>0</v>
          </cell>
          <cell r="B148">
            <v>2004</v>
          </cell>
          <cell r="C148">
            <v>1</v>
          </cell>
          <cell r="D148" t="str">
            <v>Production</v>
          </cell>
          <cell r="E148" t="str">
            <v>Gas</v>
          </cell>
          <cell r="F148" t="str">
            <v>CBM</v>
          </cell>
          <cell r="G148" t="str">
            <v>Mannville</v>
          </cell>
          <cell r="H148" t="str">
            <v>Production;Gas;CBM</v>
          </cell>
          <cell r="I148" t="str">
            <v>Gas;CBM;Mannville;0</v>
          </cell>
          <cell r="J148" t="str">
            <v>AB</v>
          </cell>
          <cell r="K148" t="str">
            <v>Shallow</v>
          </cell>
          <cell r="L148">
            <v>1</v>
          </cell>
          <cell r="M148">
            <v>0.66666669999999995</v>
          </cell>
        </row>
        <row r="149">
          <cell r="A149">
            <v>0</v>
          </cell>
          <cell r="B149">
            <v>2001</v>
          </cell>
          <cell r="C149">
            <v>1</v>
          </cell>
          <cell r="D149" t="str">
            <v>Production</v>
          </cell>
          <cell r="E149" t="str">
            <v>Gas</v>
          </cell>
          <cell r="F149" t="str">
            <v>CBM</v>
          </cell>
          <cell r="G149" t="str">
            <v>Other CBM</v>
          </cell>
          <cell r="H149" t="str">
            <v>Production;Gas;CBM</v>
          </cell>
          <cell r="I149" t="str">
            <v>Gas;CBM;Other CBM;0</v>
          </cell>
          <cell r="J149" t="str">
            <v>AB</v>
          </cell>
          <cell r="K149" t="str">
            <v>Medium</v>
          </cell>
          <cell r="L149">
            <v>2</v>
          </cell>
          <cell r="M149">
            <v>36.5</v>
          </cell>
        </row>
        <row r="150">
          <cell r="A150">
            <v>0</v>
          </cell>
          <cell r="B150">
            <v>2003</v>
          </cell>
          <cell r="C150">
            <v>1</v>
          </cell>
          <cell r="D150" t="str">
            <v>Production</v>
          </cell>
          <cell r="E150" t="str">
            <v>Gas</v>
          </cell>
          <cell r="F150" t="str">
            <v>CBM</v>
          </cell>
          <cell r="G150" t="str">
            <v>Main HSC</v>
          </cell>
          <cell r="H150" t="str">
            <v>Production;Gas;CBM</v>
          </cell>
          <cell r="I150" t="str">
            <v>Gas;CBM;Main HSC;0</v>
          </cell>
          <cell r="J150" t="str">
            <v>AB</v>
          </cell>
          <cell r="K150" t="str">
            <v>Shallow</v>
          </cell>
          <cell r="L150">
            <v>1</v>
          </cell>
          <cell r="M150">
            <v>3</v>
          </cell>
        </row>
        <row r="151">
          <cell r="A151">
            <v>0</v>
          </cell>
          <cell r="B151">
            <v>2004</v>
          </cell>
          <cell r="C151">
            <v>1</v>
          </cell>
          <cell r="D151" t="str">
            <v>Production</v>
          </cell>
          <cell r="E151" t="str">
            <v>Gas</v>
          </cell>
          <cell r="F151" t="str">
            <v>CBM</v>
          </cell>
          <cell r="G151" t="str">
            <v>Main HSC</v>
          </cell>
          <cell r="H151" t="str">
            <v>Production;Gas;CBM</v>
          </cell>
          <cell r="I151" t="str">
            <v>Gas;CBM;Main HSC;0</v>
          </cell>
          <cell r="J151" t="str">
            <v>AB</v>
          </cell>
          <cell r="K151" t="str">
            <v>Medium</v>
          </cell>
          <cell r="L151">
            <v>1</v>
          </cell>
          <cell r="M151">
            <v>4</v>
          </cell>
        </row>
        <row r="152">
          <cell r="A152">
            <v>0</v>
          </cell>
          <cell r="B152">
            <v>2004</v>
          </cell>
          <cell r="C152">
            <v>1</v>
          </cell>
          <cell r="D152" t="str">
            <v>Production</v>
          </cell>
          <cell r="E152" t="str">
            <v>Gas</v>
          </cell>
          <cell r="F152" t="str">
            <v>CBM</v>
          </cell>
          <cell r="G152" t="str">
            <v>Main HSC</v>
          </cell>
          <cell r="H152" t="str">
            <v>Production;Gas;CBM</v>
          </cell>
          <cell r="I152" t="str">
            <v>Gas;CBM;Main HSC;0</v>
          </cell>
          <cell r="J152" t="str">
            <v>AB</v>
          </cell>
          <cell r="K152" t="str">
            <v>Shallow</v>
          </cell>
          <cell r="L152">
            <v>5</v>
          </cell>
          <cell r="M152">
            <v>18.243589700000001</v>
          </cell>
        </row>
        <row r="153">
          <cell r="A153">
            <v>0</v>
          </cell>
          <cell r="B153">
            <v>2005</v>
          </cell>
          <cell r="C153">
            <v>1</v>
          </cell>
          <cell r="D153" t="str">
            <v>Production</v>
          </cell>
          <cell r="E153" t="str">
            <v>Gas</v>
          </cell>
          <cell r="F153" t="str">
            <v>CBM</v>
          </cell>
          <cell r="G153" t="str">
            <v>Main HSC</v>
          </cell>
          <cell r="H153" t="str">
            <v>Production;Gas;CBM</v>
          </cell>
          <cell r="I153" t="str">
            <v>Gas;CBM;Main HSC;0</v>
          </cell>
          <cell r="J153" t="str">
            <v>AB</v>
          </cell>
          <cell r="K153" t="str">
            <v>Medium</v>
          </cell>
          <cell r="L153">
            <v>10</v>
          </cell>
          <cell r="M153">
            <v>46</v>
          </cell>
        </row>
        <row r="154">
          <cell r="A154">
            <v>0</v>
          </cell>
          <cell r="B154">
            <v>2005</v>
          </cell>
          <cell r="C154">
            <v>1</v>
          </cell>
          <cell r="D154" t="str">
            <v>Production</v>
          </cell>
          <cell r="E154" t="str">
            <v>Gas</v>
          </cell>
          <cell r="F154" t="str">
            <v>CBM</v>
          </cell>
          <cell r="G154" t="str">
            <v>Main HSC</v>
          </cell>
          <cell r="H154" t="str">
            <v>Production;Gas;CBM</v>
          </cell>
          <cell r="I154" t="str">
            <v>Gas;CBM;Main HSC;0</v>
          </cell>
          <cell r="J154" t="str">
            <v>AB</v>
          </cell>
          <cell r="K154" t="str">
            <v>Shallow</v>
          </cell>
          <cell r="L154">
            <v>21</v>
          </cell>
          <cell r="M154">
            <v>96</v>
          </cell>
        </row>
        <row r="155">
          <cell r="A155">
            <v>0</v>
          </cell>
          <cell r="B155">
            <v>2006</v>
          </cell>
          <cell r="C155">
            <v>1</v>
          </cell>
          <cell r="D155" t="str">
            <v>Production</v>
          </cell>
          <cell r="E155" t="str">
            <v>Gas</v>
          </cell>
          <cell r="F155" t="str">
            <v>CBM</v>
          </cell>
          <cell r="G155" t="str">
            <v>Main HSC</v>
          </cell>
          <cell r="H155" t="str">
            <v>Production;Gas;CBM</v>
          </cell>
          <cell r="I155" t="str">
            <v>Gas;CBM;Main HSC;0</v>
          </cell>
          <cell r="J155" t="str">
            <v>AB</v>
          </cell>
          <cell r="K155" t="str">
            <v>Shallow</v>
          </cell>
          <cell r="L155">
            <v>8</v>
          </cell>
          <cell r="M155">
            <v>24.5</v>
          </cell>
        </row>
        <row r="156">
          <cell r="A156">
            <v>0</v>
          </cell>
          <cell r="B156">
            <v>2003</v>
          </cell>
          <cell r="C156">
            <v>1</v>
          </cell>
          <cell r="D156" t="str">
            <v>Production</v>
          </cell>
          <cell r="E156" t="str">
            <v>Gas</v>
          </cell>
          <cell r="F156" t="str">
            <v>CBM</v>
          </cell>
          <cell r="G156" t="str">
            <v>Main HSC</v>
          </cell>
          <cell r="H156" t="str">
            <v>Production;Gas;CBM</v>
          </cell>
          <cell r="I156" t="str">
            <v>Gas;CBM;Main HSC;0</v>
          </cell>
          <cell r="J156" t="str">
            <v>AB</v>
          </cell>
          <cell r="K156" t="str">
            <v>Medium</v>
          </cell>
          <cell r="L156">
            <v>3</v>
          </cell>
          <cell r="M156">
            <v>11</v>
          </cell>
        </row>
        <row r="157">
          <cell r="A157">
            <v>0</v>
          </cell>
          <cell r="B157">
            <v>2003</v>
          </cell>
          <cell r="C157">
            <v>1</v>
          </cell>
          <cell r="D157" t="str">
            <v>Production</v>
          </cell>
          <cell r="E157" t="str">
            <v>Gas</v>
          </cell>
          <cell r="F157" t="str">
            <v>CBM</v>
          </cell>
          <cell r="G157" t="str">
            <v>Main HSC</v>
          </cell>
          <cell r="H157" t="str">
            <v>Production;Gas;CBM</v>
          </cell>
          <cell r="I157" t="str">
            <v>Gas;CBM;Main HSC;0</v>
          </cell>
          <cell r="J157" t="str">
            <v>AB</v>
          </cell>
          <cell r="K157" t="str">
            <v>Shallow</v>
          </cell>
          <cell r="L157">
            <v>13</v>
          </cell>
          <cell r="M157">
            <v>29.783334100000001</v>
          </cell>
        </row>
        <row r="158">
          <cell r="A158">
            <v>0</v>
          </cell>
          <cell r="B158">
            <v>2004</v>
          </cell>
          <cell r="C158">
            <v>1</v>
          </cell>
          <cell r="D158" t="str">
            <v>Production</v>
          </cell>
          <cell r="E158" t="str">
            <v>Gas</v>
          </cell>
          <cell r="F158" t="str">
            <v>CBM</v>
          </cell>
          <cell r="G158" t="str">
            <v>Main HSC</v>
          </cell>
          <cell r="H158" t="str">
            <v>Production;Gas;CBM</v>
          </cell>
          <cell r="I158" t="str">
            <v>Gas;CBM;Main HSC;0</v>
          </cell>
          <cell r="J158" t="str">
            <v>AB</v>
          </cell>
          <cell r="K158" t="str">
            <v>Medium</v>
          </cell>
          <cell r="L158">
            <v>5</v>
          </cell>
          <cell r="M158">
            <v>18</v>
          </cell>
        </row>
        <row r="159">
          <cell r="A159">
            <v>0</v>
          </cell>
          <cell r="B159">
            <v>2004</v>
          </cell>
          <cell r="C159">
            <v>1</v>
          </cell>
          <cell r="D159" t="str">
            <v>Production</v>
          </cell>
          <cell r="E159" t="str">
            <v>Gas</v>
          </cell>
          <cell r="F159" t="str">
            <v>CBM</v>
          </cell>
          <cell r="G159" t="str">
            <v>Main HSC</v>
          </cell>
          <cell r="H159" t="str">
            <v>Production;Gas;CBM</v>
          </cell>
          <cell r="I159" t="str">
            <v>Gas;CBM;Main HSC;0</v>
          </cell>
          <cell r="J159" t="str">
            <v>AB</v>
          </cell>
          <cell r="K159" t="str">
            <v>Shallow</v>
          </cell>
          <cell r="L159">
            <v>67</v>
          </cell>
          <cell r="M159">
            <v>141.79878500000004</v>
          </cell>
        </row>
        <row r="160">
          <cell r="A160">
            <v>0</v>
          </cell>
          <cell r="B160">
            <v>2004</v>
          </cell>
          <cell r="C160">
            <v>2</v>
          </cell>
          <cell r="D160" t="str">
            <v>Production</v>
          </cell>
          <cell r="E160" t="str">
            <v>Gas</v>
          </cell>
          <cell r="F160" t="str">
            <v>CBM</v>
          </cell>
          <cell r="G160" t="str">
            <v>Main HSC</v>
          </cell>
          <cell r="H160" t="str">
            <v>Production;Gas;CBM</v>
          </cell>
          <cell r="I160" t="str">
            <v>Gas;CBM;Main HSC;0</v>
          </cell>
          <cell r="J160" t="str">
            <v>AB</v>
          </cell>
          <cell r="K160" t="str">
            <v>Medium</v>
          </cell>
          <cell r="L160">
            <v>1</v>
          </cell>
          <cell r="M160">
            <v>1</v>
          </cell>
        </row>
        <row r="161">
          <cell r="A161">
            <v>0</v>
          </cell>
          <cell r="B161">
            <v>2005</v>
          </cell>
          <cell r="C161">
            <v>1</v>
          </cell>
          <cell r="D161" t="str">
            <v>Production</v>
          </cell>
          <cell r="E161" t="str">
            <v>Gas</v>
          </cell>
          <cell r="F161" t="str">
            <v>CBM</v>
          </cell>
          <cell r="G161" t="str">
            <v>Main HSC</v>
          </cell>
          <cell r="H161" t="str">
            <v>Production;Gas;CBM</v>
          </cell>
          <cell r="I161" t="str">
            <v>Gas;CBM;Main HSC;0</v>
          </cell>
          <cell r="J161" t="str">
            <v>AB</v>
          </cell>
          <cell r="K161" t="str">
            <v>Medium</v>
          </cell>
          <cell r="L161">
            <v>13</v>
          </cell>
          <cell r="M161">
            <v>102</v>
          </cell>
        </row>
        <row r="162">
          <cell r="A162">
            <v>0</v>
          </cell>
          <cell r="B162">
            <v>2005</v>
          </cell>
          <cell r="C162">
            <v>1</v>
          </cell>
          <cell r="D162" t="str">
            <v>Production</v>
          </cell>
          <cell r="E162" t="str">
            <v>Gas</v>
          </cell>
          <cell r="F162" t="str">
            <v>CBM</v>
          </cell>
          <cell r="G162" t="str">
            <v>Main HSC</v>
          </cell>
          <cell r="H162" t="str">
            <v>Production;Gas;CBM</v>
          </cell>
          <cell r="I162" t="str">
            <v>Gas;CBM;Main HSC;0</v>
          </cell>
          <cell r="J162" t="str">
            <v>AB</v>
          </cell>
          <cell r="K162" t="str">
            <v>Shallow</v>
          </cell>
          <cell r="L162">
            <v>172</v>
          </cell>
          <cell r="M162">
            <v>627.78247680000004</v>
          </cell>
        </row>
        <row r="163">
          <cell r="A163">
            <v>0</v>
          </cell>
          <cell r="B163">
            <v>2006</v>
          </cell>
          <cell r="C163">
            <v>1</v>
          </cell>
          <cell r="D163" t="str">
            <v>Production</v>
          </cell>
          <cell r="E163" t="str">
            <v>Gas</v>
          </cell>
          <cell r="F163" t="str">
            <v>CBM</v>
          </cell>
          <cell r="G163" t="str">
            <v>Main HSC</v>
          </cell>
          <cell r="H163" t="str">
            <v>Production;Gas;CBM</v>
          </cell>
          <cell r="I163" t="str">
            <v>Gas;CBM;Main HSC;0</v>
          </cell>
          <cell r="J163" t="str">
            <v>AB</v>
          </cell>
          <cell r="K163" t="str">
            <v>Medium</v>
          </cell>
          <cell r="L163">
            <v>5</v>
          </cell>
          <cell r="M163">
            <v>17</v>
          </cell>
        </row>
        <row r="164">
          <cell r="A164">
            <v>0</v>
          </cell>
          <cell r="B164">
            <v>2006</v>
          </cell>
          <cell r="C164">
            <v>1</v>
          </cell>
          <cell r="D164" t="str">
            <v>Production</v>
          </cell>
          <cell r="E164" t="str">
            <v>Gas</v>
          </cell>
          <cell r="F164" t="str">
            <v>CBM</v>
          </cell>
          <cell r="G164" t="str">
            <v>Main HSC</v>
          </cell>
          <cell r="H164" t="str">
            <v>Production;Gas;CBM</v>
          </cell>
          <cell r="I164" t="str">
            <v>Gas;CBM;Main HSC;0</v>
          </cell>
          <cell r="J164" t="str">
            <v>AB</v>
          </cell>
          <cell r="K164" t="str">
            <v>Shallow</v>
          </cell>
          <cell r="L164">
            <v>73</v>
          </cell>
          <cell r="M164">
            <v>176.46862804</v>
          </cell>
        </row>
        <row r="165">
          <cell r="A165">
            <v>0</v>
          </cell>
          <cell r="B165">
            <v>2007</v>
          </cell>
          <cell r="C165">
            <v>1</v>
          </cell>
          <cell r="D165" t="str">
            <v>Production</v>
          </cell>
          <cell r="E165" t="str">
            <v>Gas</v>
          </cell>
          <cell r="F165" t="str">
            <v>CBM</v>
          </cell>
          <cell r="G165" t="str">
            <v>Main HSC</v>
          </cell>
          <cell r="H165" t="str">
            <v>Production;Gas;CBM</v>
          </cell>
          <cell r="I165" t="str">
            <v>Gas;CBM;Main HSC;0</v>
          </cell>
          <cell r="J165" t="str">
            <v>AB</v>
          </cell>
          <cell r="K165" t="str">
            <v>Medium</v>
          </cell>
          <cell r="L165">
            <v>1</v>
          </cell>
          <cell r="M165">
            <v>2</v>
          </cell>
        </row>
        <row r="166">
          <cell r="A166">
            <v>0</v>
          </cell>
          <cell r="B166">
            <v>2007</v>
          </cell>
          <cell r="C166">
            <v>1</v>
          </cell>
          <cell r="D166" t="str">
            <v>Production</v>
          </cell>
          <cell r="E166" t="str">
            <v>Gas</v>
          </cell>
          <cell r="F166" t="str">
            <v>CBM</v>
          </cell>
          <cell r="G166" t="str">
            <v>Main HSC</v>
          </cell>
          <cell r="H166" t="str">
            <v>Production;Gas;CBM</v>
          </cell>
          <cell r="I166" t="str">
            <v>Gas;CBM;Main HSC;0</v>
          </cell>
          <cell r="J166" t="str">
            <v>AB</v>
          </cell>
          <cell r="K166" t="str">
            <v>Shallow</v>
          </cell>
          <cell r="L166">
            <v>14</v>
          </cell>
          <cell r="M166">
            <v>85.212654000000001</v>
          </cell>
        </row>
        <row r="167">
          <cell r="A167">
            <v>0</v>
          </cell>
          <cell r="B167">
            <v>2003</v>
          </cell>
          <cell r="C167">
            <v>1</v>
          </cell>
          <cell r="D167" t="str">
            <v>Production</v>
          </cell>
          <cell r="E167" t="str">
            <v>Gas</v>
          </cell>
          <cell r="F167" t="str">
            <v>CBM</v>
          </cell>
          <cell r="G167" t="str">
            <v>Main HSC</v>
          </cell>
          <cell r="H167" t="str">
            <v>Production;Gas;CBM</v>
          </cell>
          <cell r="I167" t="str">
            <v>Gas;CBM;Main HSC;0</v>
          </cell>
          <cell r="J167" t="str">
            <v>AB</v>
          </cell>
          <cell r="K167" t="str">
            <v>Medium</v>
          </cell>
          <cell r="L167">
            <v>2</v>
          </cell>
          <cell r="M167">
            <v>7</v>
          </cell>
        </row>
        <row r="168">
          <cell r="A168">
            <v>0</v>
          </cell>
          <cell r="B168">
            <v>2003</v>
          </cell>
          <cell r="C168">
            <v>1</v>
          </cell>
          <cell r="D168" t="str">
            <v>Production</v>
          </cell>
          <cell r="E168" t="str">
            <v>Gas</v>
          </cell>
          <cell r="F168" t="str">
            <v>CBM</v>
          </cell>
          <cell r="G168" t="str">
            <v>Main HSC</v>
          </cell>
          <cell r="H168" t="str">
            <v>Production;Gas;CBM</v>
          </cell>
          <cell r="I168" t="str">
            <v>Gas;CBM;Main HSC;0</v>
          </cell>
          <cell r="J168" t="str">
            <v>AB</v>
          </cell>
          <cell r="K168" t="str">
            <v>Shallow</v>
          </cell>
          <cell r="L168">
            <v>6</v>
          </cell>
          <cell r="M168">
            <v>16</v>
          </cell>
        </row>
        <row r="169">
          <cell r="A169">
            <v>0</v>
          </cell>
          <cell r="B169">
            <v>2004</v>
          </cell>
          <cell r="C169">
            <v>1</v>
          </cell>
          <cell r="D169" t="str">
            <v>Production</v>
          </cell>
          <cell r="E169" t="str">
            <v>Gas</v>
          </cell>
          <cell r="F169" t="str">
            <v>CBM</v>
          </cell>
          <cell r="G169" t="str">
            <v>Main HSC</v>
          </cell>
          <cell r="H169" t="str">
            <v>Production;Gas;CBM</v>
          </cell>
          <cell r="I169" t="str">
            <v>Gas;CBM;Main HSC;0</v>
          </cell>
          <cell r="J169" t="str">
            <v>AB</v>
          </cell>
          <cell r="K169" t="str">
            <v>Medium</v>
          </cell>
          <cell r="L169">
            <v>5</v>
          </cell>
          <cell r="M169">
            <v>20</v>
          </cell>
        </row>
        <row r="170">
          <cell r="A170">
            <v>0</v>
          </cell>
          <cell r="B170">
            <v>2004</v>
          </cell>
          <cell r="C170">
            <v>1</v>
          </cell>
          <cell r="D170" t="str">
            <v>Production</v>
          </cell>
          <cell r="E170" t="str">
            <v>Gas</v>
          </cell>
          <cell r="F170" t="str">
            <v>CBM</v>
          </cell>
          <cell r="G170" t="str">
            <v>Main HSC</v>
          </cell>
          <cell r="H170" t="str">
            <v>Production;Gas;CBM</v>
          </cell>
          <cell r="I170" t="str">
            <v>Gas;CBM;Main HSC;0</v>
          </cell>
          <cell r="J170" t="str">
            <v>AB</v>
          </cell>
          <cell r="K170" t="str">
            <v>Shallow</v>
          </cell>
          <cell r="L170">
            <v>41</v>
          </cell>
          <cell r="M170">
            <v>155.73809559999998</v>
          </cell>
        </row>
        <row r="171">
          <cell r="A171">
            <v>0</v>
          </cell>
          <cell r="B171">
            <v>2005</v>
          </cell>
          <cell r="C171">
            <v>1</v>
          </cell>
          <cell r="D171" t="str">
            <v>Production</v>
          </cell>
          <cell r="E171" t="str">
            <v>Gas</v>
          </cell>
          <cell r="F171" t="str">
            <v>CBM</v>
          </cell>
          <cell r="G171" t="str">
            <v>Main HSC</v>
          </cell>
          <cell r="H171" t="str">
            <v>Production;Gas;CBM</v>
          </cell>
          <cell r="I171" t="str">
            <v>Gas;CBM;Main HSC;0</v>
          </cell>
          <cell r="J171" t="str">
            <v>AB</v>
          </cell>
          <cell r="K171" t="str">
            <v>MEDIUM</v>
          </cell>
          <cell r="L171">
            <v>1</v>
          </cell>
          <cell r="M171">
            <v>3</v>
          </cell>
        </row>
        <row r="172">
          <cell r="A172">
            <v>0</v>
          </cell>
          <cell r="B172">
            <v>2005</v>
          </cell>
          <cell r="C172">
            <v>1</v>
          </cell>
          <cell r="D172" t="str">
            <v>Production</v>
          </cell>
          <cell r="E172" t="str">
            <v>Gas</v>
          </cell>
          <cell r="F172" t="str">
            <v>CBM</v>
          </cell>
          <cell r="G172" t="str">
            <v>Main HSC</v>
          </cell>
          <cell r="H172" t="str">
            <v>Production;Gas;CBM</v>
          </cell>
          <cell r="I172" t="str">
            <v>Gas;CBM;Main HSC;0</v>
          </cell>
          <cell r="J172" t="str">
            <v>AB</v>
          </cell>
          <cell r="K172" t="str">
            <v>Shallow</v>
          </cell>
          <cell r="L172">
            <v>62</v>
          </cell>
          <cell r="M172">
            <v>227.7772386</v>
          </cell>
        </row>
        <row r="173">
          <cell r="A173">
            <v>0</v>
          </cell>
          <cell r="B173">
            <v>2005</v>
          </cell>
          <cell r="C173">
            <v>2</v>
          </cell>
          <cell r="D173" t="str">
            <v>Production</v>
          </cell>
          <cell r="E173" t="str">
            <v>Gas</v>
          </cell>
          <cell r="F173" t="str">
            <v>CBM</v>
          </cell>
          <cell r="G173" t="str">
            <v>Main HSC</v>
          </cell>
          <cell r="H173" t="str">
            <v>Production;Gas;CBM</v>
          </cell>
          <cell r="I173" t="str">
            <v>Gas;CBM;Main HSC;0</v>
          </cell>
          <cell r="J173" t="str">
            <v>AB</v>
          </cell>
          <cell r="K173" t="str">
            <v>Shallow</v>
          </cell>
          <cell r="L173">
            <v>1</v>
          </cell>
          <cell r="M173">
            <v>12</v>
          </cell>
        </row>
        <row r="174">
          <cell r="A174">
            <v>0</v>
          </cell>
          <cell r="B174">
            <v>2006</v>
          </cell>
          <cell r="C174">
            <v>1</v>
          </cell>
          <cell r="D174" t="str">
            <v>Production</v>
          </cell>
          <cell r="E174" t="str">
            <v>Gas</v>
          </cell>
          <cell r="F174" t="str">
            <v>CBM</v>
          </cell>
          <cell r="G174" t="str">
            <v>Main HSC</v>
          </cell>
          <cell r="H174" t="str">
            <v>Production;Gas;CBM</v>
          </cell>
          <cell r="I174" t="str">
            <v>Gas;CBM;Main HSC;0</v>
          </cell>
          <cell r="J174" t="str">
            <v>AB</v>
          </cell>
          <cell r="K174" t="str">
            <v>Medium</v>
          </cell>
          <cell r="L174">
            <v>6</v>
          </cell>
          <cell r="M174">
            <v>21</v>
          </cell>
        </row>
        <row r="175">
          <cell r="A175">
            <v>0</v>
          </cell>
          <cell r="B175">
            <v>2006</v>
          </cell>
          <cell r="C175">
            <v>1</v>
          </cell>
          <cell r="D175" t="str">
            <v>Production</v>
          </cell>
          <cell r="E175" t="str">
            <v>Gas</v>
          </cell>
          <cell r="F175" t="str">
            <v>CBM</v>
          </cell>
          <cell r="G175" t="str">
            <v>Main HSC</v>
          </cell>
          <cell r="H175" t="str">
            <v>Production;Gas;CBM</v>
          </cell>
          <cell r="I175" t="str">
            <v>Gas;CBM;Main HSC;0</v>
          </cell>
          <cell r="J175" t="str">
            <v>AB</v>
          </cell>
          <cell r="K175" t="str">
            <v>Shallow</v>
          </cell>
          <cell r="L175">
            <v>34</v>
          </cell>
          <cell r="M175">
            <v>117.39404689999998</v>
          </cell>
        </row>
        <row r="176">
          <cell r="A176">
            <v>0</v>
          </cell>
          <cell r="B176">
            <v>2006</v>
          </cell>
          <cell r="C176">
            <v>2</v>
          </cell>
          <cell r="D176" t="str">
            <v>Production</v>
          </cell>
          <cell r="E176" t="str">
            <v>Gas</v>
          </cell>
          <cell r="F176" t="str">
            <v>CBM</v>
          </cell>
          <cell r="G176" t="str">
            <v>Main HSC</v>
          </cell>
          <cell r="H176" t="str">
            <v>Production;Gas;CBM</v>
          </cell>
          <cell r="I176" t="str">
            <v>Gas;CBM;Main HSC;0</v>
          </cell>
          <cell r="J176" t="str">
            <v>AB</v>
          </cell>
          <cell r="K176" t="str">
            <v>Shallow</v>
          </cell>
          <cell r="L176">
            <v>1</v>
          </cell>
          <cell r="M176">
            <v>3</v>
          </cell>
        </row>
        <row r="177">
          <cell r="A177">
            <v>0</v>
          </cell>
          <cell r="B177">
            <v>2007</v>
          </cell>
          <cell r="C177">
            <v>1</v>
          </cell>
          <cell r="D177" t="str">
            <v>Production</v>
          </cell>
          <cell r="E177" t="str">
            <v>Gas</v>
          </cell>
          <cell r="F177" t="str">
            <v>CBM</v>
          </cell>
          <cell r="G177" t="str">
            <v>Main HSC</v>
          </cell>
          <cell r="H177" t="str">
            <v>Production;Gas;CBM</v>
          </cell>
          <cell r="I177" t="str">
            <v>Gas;CBM;Main HSC;0</v>
          </cell>
          <cell r="J177" t="str">
            <v>AB</v>
          </cell>
          <cell r="K177" t="str">
            <v>Shallow</v>
          </cell>
          <cell r="L177">
            <v>8</v>
          </cell>
          <cell r="M177">
            <v>63.244050000000001</v>
          </cell>
        </row>
        <row r="178">
          <cell r="A178">
            <v>0</v>
          </cell>
          <cell r="B178">
            <v>2004</v>
          </cell>
          <cell r="C178">
            <v>1</v>
          </cell>
          <cell r="D178" t="str">
            <v>Service-Devt</v>
          </cell>
          <cell r="E178" t="str">
            <v>Gas</v>
          </cell>
          <cell r="F178" t="str">
            <v>CBM</v>
          </cell>
          <cell r="G178" t="str">
            <v>Other CBM</v>
          </cell>
          <cell r="H178" t="str">
            <v>Service/Storage</v>
          </cell>
          <cell r="I178" t="str">
            <v>Gas;CBM;Other CBM;0</v>
          </cell>
          <cell r="J178" t="str">
            <v>AB</v>
          </cell>
          <cell r="K178" t="str">
            <v>Medium</v>
          </cell>
          <cell r="L178">
            <v>1</v>
          </cell>
          <cell r="M178">
            <v>4</v>
          </cell>
        </row>
        <row r="179">
          <cell r="A179">
            <v>0</v>
          </cell>
          <cell r="B179">
            <v>2005</v>
          </cell>
          <cell r="C179">
            <v>1</v>
          </cell>
          <cell r="D179" t="str">
            <v>Service-Devt</v>
          </cell>
          <cell r="E179" t="str">
            <v>Gas</v>
          </cell>
          <cell r="F179" t="str">
            <v>CBM</v>
          </cell>
          <cell r="G179" t="str">
            <v>Main HSC</v>
          </cell>
          <cell r="H179" t="str">
            <v>Service/Storage</v>
          </cell>
          <cell r="I179" t="str">
            <v>Gas;CBM;Main HSC;0</v>
          </cell>
          <cell r="J179" t="str">
            <v>AB</v>
          </cell>
          <cell r="K179" t="str">
            <v>Shallow</v>
          </cell>
          <cell r="L179">
            <v>1</v>
          </cell>
          <cell r="M179">
            <v>2</v>
          </cell>
        </row>
        <row r="180">
          <cell r="A180">
            <v>0</v>
          </cell>
          <cell r="B180">
            <v>2006</v>
          </cell>
          <cell r="C180">
            <v>1</v>
          </cell>
          <cell r="D180" t="str">
            <v>Service-Devt</v>
          </cell>
          <cell r="E180" t="str">
            <v>Gas</v>
          </cell>
          <cell r="F180" t="str">
            <v>CBM</v>
          </cell>
          <cell r="G180" t="str">
            <v>Main HSC</v>
          </cell>
          <cell r="H180" t="str">
            <v>Service/Storage</v>
          </cell>
          <cell r="I180" t="str">
            <v>Gas;CBM;Main HSC;0</v>
          </cell>
          <cell r="J180" t="str">
            <v>AB</v>
          </cell>
          <cell r="K180" t="str">
            <v>Shallow</v>
          </cell>
          <cell r="L180">
            <v>2</v>
          </cell>
          <cell r="M180">
            <v>39.833329999999997</v>
          </cell>
        </row>
        <row r="181">
          <cell r="A181">
            <v>1</v>
          </cell>
          <cell r="B181">
            <v>2000</v>
          </cell>
          <cell r="C181">
            <v>1</v>
          </cell>
          <cell r="D181" t="str">
            <v>Production</v>
          </cell>
          <cell r="E181" t="str">
            <v>Gas</v>
          </cell>
          <cell r="F181" t="str">
            <v>Conventional</v>
          </cell>
          <cell r="G181">
            <v>0</v>
          </cell>
          <cell r="H181" t="str">
            <v>Production;Gas;Conventional</v>
          </cell>
          <cell r="I181" t="str">
            <v>Gas;Conventional;0;1</v>
          </cell>
          <cell r="J181" t="str">
            <v>AB</v>
          </cell>
          <cell r="K181" t="str">
            <v>Deep</v>
          </cell>
          <cell r="L181">
            <v>32</v>
          </cell>
          <cell r="M181">
            <v>2790</v>
          </cell>
        </row>
        <row r="182">
          <cell r="A182">
            <v>1</v>
          </cell>
          <cell r="B182">
            <v>2000</v>
          </cell>
          <cell r="C182">
            <v>1</v>
          </cell>
          <cell r="D182" t="str">
            <v>Production</v>
          </cell>
          <cell r="E182" t="str">
            <v>Gas</v>
          </cell>
          <cell r="F182" t="str">
            <v>Conventional</v>
          </cell>
          <cell r="G182">
            <v>0</v>
          </cell>
          <cell r="H182" t="str">
            <v>Production;Gas;Conventional</v>
          </cell>
          <cell r="I182" t="str">
            <v>Gas;Conventional;0;1</v>
          </cell>
          <cell r="J182" t="str">
            <v>AB</v>
          </cell>
          <cell r="K182" t="str">
            <v>Medium</v>
          </cell>
          <cell r="L182">
            <v>7</v>
          </cell>
          <cell r="M182">
            <v>259</v>
          </cell>
        </row>
        <row r="183">
          <cell r="A183">
            <v>1</v>
          </cell>
          <cell r="B183">
            <v>2000</v>
          </cell>
          <cell r="C183">
            <v>2</v>
          </cell>
          <cell r="D183" t="str">
            <v>Production</v>
          </cell>
          <cell r="E183" t="str">
            <v>Gas</v>
          </cell>
          <cell r="F183" t="str">
            <v>Conventional</v>
          </cell>
          <cell r="G183">
            <v>0</v>
          </cell>
          <cell r="H183" t="str">
            <v>Production;Gas;Conventional</v>
          </cell>
          <cell r="I183" t="str">
            <v>Gas;Conventional;0;1</v>
          </cell>
          <cell r="J183" t="str">
            <v>AB</v>
          </cell>
          <cell r="K183" t="str">
            <v>DEEP</v>
          </cell>
          <cell r="L183">
            <v>2</v>
          </cell>
          <cell r="M183">
            <v>93</v>
          </cell>
        </row>
        <row r="184">
          <cell r="A184">
            <v>1</v>
          </cell>
          <cell r="B184">
            <v>2001</v>
          </cell>
          <cell r="C184">
            <v>1</v>
          </cell>
          <cell r="D184" t="str">
            <v>Production</v>
          </cell>
          <cell r="E184" t="str">
            <v>Gas</v>
          </cell>
          <cell r="F184" t="str">
            <v>Conventional</v>
          </cell>
          <cell r="G184">
            <v>0</v>
          </cell>
          <cell r="H184" t="str">
            <v>Production;Gas;Conventional</v>
          </cell>
          <cell r="I184" t="str">
            <v>Gas;Conventional;0;1</v>
          </cell>
          <cell r="J184" t="str">
            <v>AB</v>
          </cell>
          <cell r="K184" t="str">
            <v>Deep</v>
          </cell>
          <cell r="L184">
            <v>36</v>
          </cell>
          <cell r="M184">
            <v>2771.5</v>
          </cell>
        </row>
        <row r="185">
          <cell r="A185">
            <v>1</v>
          </cell>
          <cell r="B185">
            <v>2001</v>
          </cell>
          <cell r="C185">
            <v>1</v>
          </cell>
          <cell r="D185" t="str">
            <v>Production</v>
          </cell>
          <cell r="E185" t="str">
            <v>Gas</v>
          </cell>
          <cell r="F185" t="str">
            <v>Conventional</v>
          </cell>
          <cell r="G185">
            <v>0</v>
          </cell>
          <cell r="H185" t="str">
            <v>Production;Gas;Conventional</v>
          </cell>
          <cell r="I185" t="str">
            <v>Gas;Conventional;0;1</v>
          </cell>
          <cell r="J185" t="str">
            <v>AB</v>
          </cell>
          <cell r="K185" t="str">
            <v>Medium</v>
          </cell>
          <cell r="L185">
            <v>10</v>
          </cell>
          <cell r="M185">
            <v>439</v>
          </cell>
        </row>
        <row r="186">
          <cell r="A186">
            <v>1</v>
          </cell>
          <cell r="B186">
            <v>2001</v>
          </cell>
          <cell r="C186">
            <v>2</v>
          </cell>
          <cell r="D186" t="str">
            <v>Production</v>
          </cell>
          <cell r="E186" t="str">
            <v>Gas</v>
          </cell>
          <cell r="F186" t="str">
            <v>Conventional</v>
          </cell>
          <cell r="G186">
            <v>0</v>
          </cell>
          <cell r="H186" t="str">
            <v>Production;Gas;Conventional</v>
          </cell>
          <cell r="I186" t="str">
            <v>Gas;Conventional;0;1</v>
          </cell>
          <cell r="J186" t="str">
            <v>AB</v>
          </cell>
          <cell r="K186" t="str">
            <v>Deep</v>
          </cell>
          <cell r="L186">
            <v>5</v>
          </cell>
          <cell r="M186">
            <v>171.5</v>
          </cell>
        </row>
        <row r="187">
          <cell r="A187">
            <v>1</v>
          </cell>
          <cell r="B187">
            <v>2001</v>
          </cell>
          <cell r="C187">
            <v>2</v>
          </cell>
          <cell r="D187" t="str">
            <v>Production</v>
          </cell>
          <cell r="E187" t="str">
            <v>Gas</v>
          </cell>
          <cell r="F187" t="str">
            <v>Conventional</v>
          </cell>
          <cell r="G187">
            <v>0</v>
          </cell>
          <cell r="H187" t="str">
            <v>Production;Gas;Conventional</v>
          </cell>
          <cell r="I187" t="str">
            <v>Gas;Conventional;0;1</v>
          </cell>
          <cell r="J187" t="str">
            <v>AB</v>
          </cell>
          <cell r="K187" t="str">
            <v>Medium</v>
          </cell>
          <cell r="L187">
            <v>1</v>
          </cell>
          <cell r="M187">
            <v>52</v>
          </cell>
        </row>
        <row r="188">
          <cell r="A188">
            <v>1</v>
          </cell>
          <cell r="B188">
            <v>2001</v>
          </cell>
          <cell r="C188">
            <v>3</v>
          </cell>
          <cell r="D188" t="str">
            <v>Production</v>
          </cell>
          <cell r="E188" t="str">
            <v>Gas</v>
          </cell>
          <cell r="F188" t="str">
            <v>Conventional</v>
          </cell>
          <cell r="G188">
            <v>0</v>
          </cell>
          <cell r="H188" t="str">
            <v>Production;Gas;Conventional</v>
          </cell>
          <cell r="I188" t="str">
            <v>Gas;Conventional;0;1</v>
          </cell>
          <cell r="J188" t="str">
            <v>AB</v>
          </cell>
          <cell r="K188" t="str">
            <v>DEEP</v>
          </cell>
          <cell r="L188">
            <v>1</v>
          </cell>
          <cell r="M188">
            <v>67</v>
          </cell>
        </row>
        <row r="189">
          <cell r="A189">
            <v>1</v>
          </cell>
          <cell r="B189">
            <v>2002</v>
          </cell>
          <cell r="C189">
            <v>1</v>
          </cell>
          <cell r="D189" t="str">
            <v>Production</v>
          </cell>
          <cell r="E189" t="str">
            <v>Gas</v>
          </cell>
          <cell r="F189" t="str">
            <v>Conventional</v>
          </cell>
          <cell r="G189">
            <v>0</v>
          </cell>
          <cell r="H189" t="str">
            <v>Production;Gas;Conventional</v>
          </cell>
          <cell r="I189" t="str">
            <v>Gas;Conventional;0;1</v>
          </cell>
          <cell r="J189" t="str">
            <v>AB</v>
          </cell>
          <cell r="K189" t="str">
            <v>Deep</v>
          </cell>
          <cell r="L189">
            <v>33</v>
          </cell>
          <cell r="M189">
            <v>2406.8333300000004</v>
          </cell>
        </row>
        <row r="190">
          <cell r="A190">
            <v>1</v>
          </cell>
          <cell r="B190">
            <v>2002</v>
          </cell>
          <cell r="C190">
            <v>1</v>
          </cell>
          <cell r="D190" t="str">
            <v>Production</v>
          </cell>
          <cell r="E190" t="str">
            <v>Gas</v>
          </cell>
          <cell r="F190" t="str">
            <v>Conventional</v>
          </cell>
          <cell r="G190">
            <v>0</v>
          </cell>
          <cell r="H190" t="str">
            <v>Production;Gas;Conventional</v>
          </cell>
          <cell r="I190" t="str">
            <v>Gas;Conventional;0;1</v>
          </cell>
          <cell r="J190" t="str">
            <v>AB</v>
          </cell>
          <cell r="K190" t="str">
            <v>Medium</v>
          </cell>
          <cell r="L190">
            <v>7</v>
          </cell>
          <cell r="M190">
            <v>195.33333999999999</v>
          </cell>
        </row>
        <row r="191">
          <cell r="A191">
            <v>1</v>
          </cell>
          <cell r="B191">
            <v>2002</v>
          </cell>
          <cell r="C191">
            <v>2</v>
          </cell>
          <cell r="D191" t="str">
            <v>Production</v>
          </cell>
          <cell r="E191" t="str">
            <v>Gas</v>
          </cell>
          <cell r="F191" t="str">
            <v>Conventional</v>
          </cell>
          <cell r="G191">
            <v>0</v>
          </cell>
          <cell r="H191" t="str">
            <v>Production;Gas;Conventional</v>
          </cell>
          <cell r="I191" t="str">
            <v>Gas;Conventional;0;1</v>
          </cell>
          <cell r="J191" t="str">
            <v>AB</v>
          </cell>
          <cell r="K191" t="str">
            <v>Deep</v>
          </cell>
          <cell r="L191">
            <v>3</v>
          </cell>
          <cell r="M191">
            <v>171</v>
          </cell>
        </row>
        <row r="192">
          <cell r="A192">
            <v>1</v>
          </cell>
          <cell r="B192">
            <v>2002</v>
          </cell>
          <cell r="C192">
            <v>3</v>
          </cell>
          <cell r="D192" t="str">
            <v>Production</v>
          </cell>
          <cell r="E192" t="str">
            <v>Gas</v>
          </cell>
          <cell r="F192" t="str">
            <v>Conventional</v>
          </cell>
          <cell r="G192">
            <v>0</v>
          </cell>
          <cell r="H192" t="str">
            <v>Production;Gas;Conventional</v>
          </cell>
          <cell r="I192" t="str">
            <v>Gas;Conventional;0;1</v>
          </cell>
          <cell r="J192" t="str">
            <v>AB</v>
          </cell>
          <cell r="K192" t="str">
            <v>Medium</v>
          </cell>
          <cell r="L192">
            <v>1</v>
          </cell>
          <cell r="M192">
            <v>37</v>
          </cell>
        </row>
        <row r="193">
          <cell r="A193">
            <v>1</v>
          </cell>
          <cell r="B193">
            <v>2003</v>
          </cell>
          <cell r="C193">
            <v>1</v>
          </cell>
          <cell r="D193" t="str">
            <v>Production</v>
          </cell>
          <cell r="E193" t="str">
            <v>Gas</v>
          </cell>
          <cell r="F193" t="str">
            <v>Conventional</v>
          </cell>
          <cell r="G193">
            <v>0</v>
          </cell>
          <cell r="H193" t="str">
            <v>Production;Gas;Conventional</v>
          </cell>
          <cell r="I193" t="str">
            <v>Gas;Conventional;0;1</v>
          </cell>
          <cell r="J193" t="str">
            <v>AB</v>
          </cell>
          <cell r="K193" t="str">
            <v>Deep</v>
          </cell>
          <cell r="L193">
            <v>46</v>
          </cell>
          <cell r="M193">
            <v>3342</v>
          </cell>
        </row>
        <row r="194">
          <cell r="A194">
            <v>1</v>
          </cell>
          <cell r="B194">
            <v>2003</v>
          </cell>
          <cell r="C194">
            <v>1</v>
          </cell>
          <cell r="D194" t="str">
            <v>Production</v>
          </cell>
          <cell r="E194" t="str">
            <v>Gas</v>
          </cell>
          <cell r="F194" t="str">
            <v>Conventional</v>
          </cell>
          <cell r="G194">
            <v>0</v>
          </cell>
          <cell r="H194" t="str">
            <v>Production;Gas;Conventional</v>
          </cell>
          <cell r="I194" t="str">
            <v>Gas;Conventional;0;1</v>
          </cell>
          <cell r="J194" t="str">
            <v>AB</v>
          </cell>
          <cell r="K194" t="str">
            <v>Medium</v>
          </cell>
          <cell r="L194">
            <v>3</v>
          </cell>
          <cell r="M194">
            <v>31</v>
          </cell>
        </row>
        <row r="195">
          <cell r="A195">
            <v>1</v>
          </cell>
          <cell r="B195">
            <v>2003</v>
          </cell>
          <cell r="C195">
            <v>2</v>
          </cell>
          <cell r="D195" t="str">
            <v>Production</v>
          </cell>
          <cell r="E195" t="str">
            <v>Gas</v>
          </cell>
          <cell r="F195" t="str">
            <v>Conventional</v>
          </cell>
          <cell r="G195">
            <v>0</v>
          </cell>
          <cell r="H195" t="str">
            <v>Production;Gas;Conventional</v>
          </cell>
          <cell r="I195" t="str">
            <v>Gas;Conventional;0;1</v>
          </cell>
          <cell r="J195" t="str">
            <v>AB</v>
          </cell>
          <cell r="K195" t="str">
            <v>Deep</v>
          </cell>
          <cell r="L195">
            <v>3</v>
          </cell>
          <cell r="M195">
            <v>212</v>
          </cell>
        </row>
        <row r="196">
          <cell r="A196">
            <v>1</v>
          </cell>
          <cell r="B196">
            <v>2003</v>
          </cell>
          <cell r="C196">
            <v>2</v>
          </cell>
          <cell r="D196" t="str">
            <v>Production</v>
          </cell>
          <cell r="E196" t="str">
            <v>Gas</v>
          </cell>
          <cell r="F196" t="str">
            <v>Conventional</v>
          </cell>
          <cell r="G196">
            <v>0</v>
          </cell>
          <cell r="H196" t="str">
            <v>Production;Gas;Conventional</v>
          </cell>
          <cell r="I196" t="str">
            <v>Gas;Conventional;0;1</v>
          </cell>
          <cell r="J196" t="str">
            <v>AB</v>
          </cell>
          <cell r="K196" t="str">
            <v>Medium</v>
          </cell>
          <cell r="L196">
            <v>3</v>
          </cell>
          <cell r="M196">
            <v>101</v>
          </cell>
        </row>
        <row r="197">
          <cell r="A197">
            <v>1</v>
          </cell>
          <cell r="B197">
            <v>2004</v>
          </cell>
          <cell r="C197">
            <v>1</v>
          </cell>
          <cell r="D197" t="str">
            <v>Production</v>
          </cell>
          <cell r="E197" t="str">
            <v>Gas</v>
          </cell>
          <cell r="F197" t="str">
            <v>Conventional</v>
          </cell>
          <cell r="G197">
            <v>0</v>
          </cell>
          <cell r="H197" t="str">
            <v>Production;Gas;Conventional</v>
          </cell>
          <cell r="I197" t="str">
            <v>Gas;Conventional;0;1</v>
          </cell>
          <cell r="J197" t="str">
            <v>AB</v>
          </cell>
          <cell r="K197" t="str">
            <v>Deep</v>
          </cell>
          <cell r="L197">
            <v>63</v>
          </cell>
          <cell r="M197">
            <v>5154.6666700000005</v>
          </cell>
        </row>
        <row r="198">
          <cell r="A198">
            <v>1</v>
          </cell>
          <cell r="B198">
            <v>2004</v>
          </cell>
          <cell r="C198">
            <v>1</v>
          </cell>
          <cell r="D198" t="str">
            <v>Production</v>
          </cell>
          <cell r="E198" t="str">
            <v>Gas</v>
          </cell>
          <cell r="F198" t="str">
            <v>Conventional</v>
          </cell>
          <cell r="G198">
            <v>0</v>
          </cell>
          <cell r="H198" t="str">
            <v>Production;Gas;Conventional</v>
          </cell>
          <cell r="I198" t="str">
            <v>Gas;Conventional;0;1</v>
          </cell>
          <cell r="J198" t="str">
            <v>AB</v>
          </cell>
          <cell r="K198" t="str">
            <v>Medium</v>
          </cell>
          <cell r="L198">
            <v>9</v>
          </cell>
          <cell r="M198">
            <v>151.16666599999999</v>
          </cell>
        </row>
        <row r="199">
          <cell r="A199">
            <v>1</v>
          </cell>
          <cell r="B199">
            <v>2004</v>
          </cell>
          <cell r="C199">
            <v>2</v>
          </cell>
          <cell r="D199" t="str">
            <v>Production</v>
          </cell>
          <cell r="E199" t="str">
            <v>Gas</v>
          </cell>
          <cell r="F199" t="str">
            <v>Conventional</v>
          </cell>
          <cell r="G199">
            <v>0</v>
          </cell>
          <cell r="H199" t="str">
            <v>Production;Gas;Conventional</v>
          </cell>
          <cell r="I199" t="str">
            <v>Gas;Conventional;0;1</v>
          </cell>
          <cell r="J199" t="str">
            <v>AB</v>
          </cell>
          <cell r="K199" t="str">
            <v>Deep</v>
          </cell>
          <cell r="L199">
            <v>4</v>
          </cell>
          <cell r="M199">
            <v>308</v>
          </cell>
        </row>
        <row r="200">
          <cell r="A200">
            <v>1</v>
          </cell>
          <cell r="B200">
            <v>2004</v>
          </cell>
          <cell r="C200">
            <v>3</v>
          </cell>
          <cell r="D200" t="str">
            <v>Production</v>
          </cell>
          <cell r="E200" t="str">
            <v>Gas</v>
          </cell>
          <cell r="F200" t="str">
            <v>Conventional</v>
          </cell>
          <cell r="G200">
            <v>0</v>
          </cell>
          <cell r="H200" t="str">
            <v>Production;Gas;Conventional</v>
          </cell>
          <cell r="I200" t="str">
            <v>Gas;Conventional;0;1</v>
          </cell>
          <cell r="J200" t="str">
            <v>AB</v>
          </cell>
          <cell r="K200" t="str">
            <v>Deep</v>
          </cell>
          <cell r="L200">
            <v>1</v>
          </cell>
          <cell r="M200">
            <v>13.5</v>
          </cell>
        </row>
        <row r="201">
          <cell r="A201">
            <v>1</v>
          </cell>
          <cell r="B201">
            <v>2005</v>
          </cell>
          <cell r="C201">
            <v>1</v>
          </cell>
          <cell r="D201" t="str">
            <v>Production</v>
          </cell>
          <cell r="E201" t="str">
            <v>Gas</v>
          </cell>
          <cell r="F201" t="str">
            <v>Conventional</v>
          </cell>
          <cell r="G201">
            <v>0</v>
          </cell>
          <cell r="H201" t="str">
            <v>Production;Gas;Conventional</v>
          </cell>
          <cell r="I201" t="str">
            <v>Gas;Conventional;0;1</v>
          </cell>
          <cell r="J201" t="str">
            <v>AB</v>
          </cell>
          <cell r="K201" t="str">
            <v>Deep</v>
          </cell>
          <cell r="L201">
            <v>50</v>
          </cell>
          <cell r="M201">
            <v>4079</v>
          </cell>
        </row>
        <row r="202">
          <cell r="A202">
            <v>1</v>
          </cell>
          <cell r="B202">
            <v>2005</v>
          </cell>
          <cell r="C202">
            <v>1</v>
          </cell>
          <cell r="D202" t="str">
            <v>Production</v>
          </cell>
          <cell r="E202" t="str">
            <v>Gas</v>
          </cell>
          <cell r="F202" t="str">
            <v>Conventional</v>
          </cell>
          <cell r="G202">
            <v>0</v>
          </cell>
          <cell r="H202" t="str">
            <v>Production;Gas;Conventional</v>
          </cell>
          <cell r="I202" t="str">
            <v>Gas;Conventional;0;1</v>
          </cell>
          <cell r="J202" t="str">
            <v>AB</v>
          </cell>
          <cell r="K202" t="str">
            <v>Medium</v>
          </cell>
          <cell r="L202">
            <v>7</v>
          </cell>
          <cell r="M202">
            <v>163</v>
          </cell>
        </row>
        <row r="203">
          <cell r="A203">
            <v>1</v>
          </cell>
          <cell r="B203">
            <v>2005</v>
          </cell>
          <cell r="C203">
            <v>2</v>
          </cell>
          <cell r="D203" t="str">
            <v>Production</v>
          </cell>
          <cell r="E203" t="str">
            <v>Gas</v>
          </cell>
          <cell r="F203" t="str">
            <v>Conventional</v>
          </cell>
          <cell r="G203">
            <v>0</v>
          </cell>
          <cell r="H203" t="str">
            <v>Production;Gas;Conventional</v>
          </cell>
          <cell r="I203" t="str">
            <v>Gas;Conventional;0;1</v>
          </cell>
          <cell r="J203" t="str">
            <v>AB</v>
          </cell>
          <cell r="K203" t="str">
            <v>Deep</v>
          </cell>
          <cell r="L203">
            <v>5</v>
          </cell>
          <cell r="M203">
            <v>259</v>
          </cell>
        </row>
        <row r="204">
          <cell r="A204">
            <v>1</v>
          </cell>
          <cell r="B204">
            <v>2006</v>
          </cell>
          <cell r="C204">
            <v>1</v>
          </cell>
          <cell r="D204" t="str">
            <v>Production</v>
          </cell>
          <cell r="E204" t="str">
            <v>Gas</v>
          </cell>
          <cell r="F204" t="str">
            <v>Conventional</v>
          </cell>
          <cell r="G204">
            <v>0</v>
          </cell>
          <cell r="H204" t="str">
            <v>Production;Gas;Conventional</v>
          </cell>
          <cell r="I204" t="str">
            <v>Gas;Conventional;0;1</v>
          </cell>
          <cell r="J204" t="str">
            <v>AB</v>
          </cell>
          <cell r="K204" t="str">
            <v>Deep</v>
          </cell>
          <cell r="L204">
            <v>41</v>
          </cell>
          <cell r="M204">
            <v>3023</v>
          </cell>
        </row>
        <row r="205">
          <cell r="A205">
            <v>1</v>
          </cell>
          <cell r="B205">
            <v>2006</v>
          </cell>
          <cell r="C205">
            <v>1</v>
          </cell>
          <cell r="D205" t="str">
            <v>Production</v>
          </cell>
          <cell r="E205" t="str">
            <v>Gas</v>
          </cell>
          <cell r="F205" t="str">
            <v>Conventional</v>
          </cell>
          <cell r="G205">
            <v>0</v>
          </cell>
          <cell r="H205" t="str">
            <v>Production;Gas;Conventional</v>
          </cell>
          <cell r="I205" t="str">
            <v>Gas;Conventional;0;1</v>
          </cell>
          <cell r="J205" t="str">
            <v>AB</v>
          </cell>
          <cell r="K205" t="str">
            <v>Medium</v>
          </cell>
          <cell r="L205">
            <v>4</v>
          </cell>
          <cell r="M205">
            <v>257</v>
          </cell>
        </row>
        <row r="206">
          <cell r="A206">
            <v>1</v>
          </cell>
          <cell r="B206">
            <v>2006</v>
          </cell>
          <cell r="C206">
            <v>2</v>
          </cell>
          <cell r="D206" t="str">
            <v>Production</v>
          </cell>
          <cell r="E206" t="str">
            <v>Gas</v>
          </cell>
          <cell r="F206" t="str">
            <v>Conventional</v>
          </cell>
          <cell r="G206">
            <v>0</v>
          </cell>
          <cell r="H206" t="str">
            <v>Production;Gas;Conventional</v>
          </cell>
          <cell r="I206" t="str">
            <v>Gas;Conventional;0;1</v>
          </cell>
          <cell r="J206" t="str">
            <v>AB</v>
          </cell>
          <cell r="K206" t="str">
            <v>Deep</v>
          </cell>
          <cell r="L206">
            <v>2</v>
          </cell>
          <cell r="M206">
            <v>125</v>
          </cell>
        </row>
        <row r="207">
          <cell r="A207">
            <v>1</v>
          </cell>
          <cell r="B207">
            <v>2007</v>
          </cell>
          <cell r="C207">
            <v>1</v>
          </cell>
          <cell r="D207" t="str">
            <v>Production</v>
          </cell>
          <cell r="E207" t="str">
            <v>Gas</v>
          </cell>
          <cell r="F207" t="str">
            <v>Conventional</v>
          </cell>
          <cell r="G207">
            <v>0</v>
          </cell>
          <cell r="H207" t="str">
            <v>Production;Gas;Conventional</v>
          </cell>
          <cell r="I207" t="str">
            <v>Gas;Conventional;0;1</v>
          </cell>
          <cell r="J207" t="str">
            <v>AB</v>
          </cell>
          <cell r="K207" t="str">
            <v>Deep</v>
          </cell>
          <cell r="L207">
            <v>2</v>
          </cell>
          <cell r="M207">
            <v>106</v>
          </cell>
        </row>
        <row r="208">
          <cell r="A208">
            <v>2</v>
          </cell>
          <cell r="B208">
            <v>2000</v>
          </cell>
          <cell r="C208">
            <v>1</v>
          </cell>
          <cell r="D208" t="str">
            <v>Production</v>
          </cell>
          <cell r="E208" t="str">
            <v>Gas</v>
          </cell>
          <cell r="F208" t="str">
            <v>Conventional</v>
          </cell>
          <cell r="G208">
            <v>0</v>
          </cell>
          <cell r="H208" t="str">
            <v>Production;Gas;Conventional</v>
          </cell>
          <cell r="I208" t="str">
            <v>Gas;Conventional;0;2</v>
          </cell>
          <cell r="J208" t="str">
            <v>AB</v>
          </cell>
          <cell r="K208" t="str">
            <v>Deep</v>
          </cell>
          <cell r="L208">
            <v>314</v>
          </cell>
          <cell r="M208">
            <v>11374</v>
          </cell>
        </row>
        <row r="209">
          <cell r="A209">
            <v>2</v>
          </cell>
          <cell r="B209">
            <v>2000</v>
          </cell>
          <cell r="C209">
            <v>1</v>
          </cell>
          <cell r="D209" t="str">
            <v>Production</v>
          </cell>
          <cell r="E209" t="str">
            <v>Gas</v>
          </cell>
          <cell r="F209" t="str">
            <v>Conventional</v>
          </cell>
          <cell r="G209">
            <v>0</v>
          </cell>
          <cell r="H209" t="str">
            <v>Production;Gas;Conventional</v>
          </cell>
          <cell r="I209" t="str">
            <v>Gas;Conventional;0;2</v>
          </cell>
          <cell r="J209" t="str">
            <v>AB</v>
          </cell>
          <cell r="K209" t="str">
            <v>MEDIUM</v>
          </cell>
          <cell r="L209">
            <v>422</v>
          </cell>
          <cell r="M209">
            <v>6575.3531710000007</v>
          </cell>
        </row>
        <row r="210">
          <cell r="A210">
            <v>2</v>
          </cell>
          <cell r="B210">
            <v>2000</v>
          </cell>
          <cell r="C210">
            <v>1</v>
          </cell>
          <cell r="D210" t="str">
            <v>Production</v>
          </cell>
          <cell r="E210" t="str">
            <v>Gas</v>
          </cell>
          <cell r="F210" t="str">
            <v>Conventional</v>
          </cell>
          <cell r="G210">
            <v>0</v>
          </cell>
          <cell r="H210" t="str">
            <v>Production;Gas;Conventional</v>
          </cell>
          <cell r="I210" t="str">
            <v>Gas;Conventional;0;2</v>
          </cell>
          <cell r="J210" t="str">
            <v>AB</v>
          </cell>
          <cell r="K210" t="str">
            <v>SHALLOW</v>
          </cell>
          <cell r="L210">
            <v>43</v>
          </cell>
          <cell r="M210">
            <v>220.3500004</v>
          </cell>
        </row>
        <row r="211">
          <cell r="A211">
            <v>2</v>
          </cell>
          <cell r="B211">
            <v>2000</v>
          </cell>
          <cell r="C211">
            <v>2</v>
          </cell>
          <cell r="D211" t="str">
            <v>Production</v>
          </cell>
          <cell r="E211" t="str">
            <v>Gas</v>
          </cell>
          <cell r="F211" t="str">
            <v>Conventional</v>
          </cell>
          <cell r="G211">
            <v>0</v>
          </cell>
          <cell r="H211" t="str">
            <v>Production;Gas;Conventional</v>
          </cell>
          <cell r="I211" t="str">
            <v>Gas;Conventional;0;2</v>
          </cell>
          <cell r="J211" t="str">
            <v>AB</v>
          </cell>
          <cell r="K211" t="str">
            <v>Deep</v>
          </cell>
          <cell r="L211">
            <v>5</v>
          </cell>
          <cell r="M211">
            <v>107</v>
          </cell>
        </row>
        <row r="212">
          <cell r="A212">
            <v>2</v>
          </cell>
          <cell r="B212">
            <v>2000</v>
          </cell>
          <cell r="C212">
            <v>2</v>
          </cell>
          <cell r="D212" t="str">
            <v>Production</v>
          </cell>
          <cell r="E212" t="str">
            <v>Gas</v>
          </cell>
          <cell r="F212" t="str">
            <v>Conventional</v>
          </cell>
          <cell r="G212">
            <v>0</v>
          </cell>
          <cell r="H212" t="str">
            <v>Production;Gas;Conventional</v>
          </cell>
          <cell r="I212" t="str">
            <v>Gas;Conventional;0;2</v>
          </cell>
          <cell r="J212" t="str">
            <v>AB</v>
          </cell>
          <cell r="K212" t="str">
            <v>Medium</v>
          </cell>
          <cell r="L212">
            <v>7</v>
          </cell>
          <cell r="M212">
            <v>124</v>
          </cell>
        </row>
        <row r="213">
          <cell r="A213">
            <v>2</v>
          </cell>
          <cell r="B213">
            <v>2000</v>
          </cell>
          <cell r="C213">
            <v>3</v>
          </cell>
          <cell r="D213" t="str">
            <v>Production</v>
          </cell>
          <cell r="E213" t="str">
            <v>Gas</v>
          </cell>
          <cell r="F213" t="str">
            <v>Conventional</v>
          </cell>
          <cell r="G213">
            <v>0</v>
          </cell>
          <cell r="H213" t="str">
            <v>Production;Gas;Conventional</v>
          </cell>
          <cell r="I213" t="str">
            <v>Gas;Conventional;0;2</v>
          </cell>
          <cell r="J213" t="str">
            <v>AB</v>
          </cell>
          <cell r="K213" t="str">
            <v>Deep</v>
          </cell>
          <cell r="L213">
            <v>1</v>
          </cell>
          <cell r="M213">
            <v>29</v>
          </cell>
        </row>
        <row r="214">
          <cell r="A214">
            <v>2</v>
          </cell>
          <cell r="B214">
            <v>2001</v>
          </cell>
          <cell r="C214">
            <v>1</v>
          </cell>
          <cell r="D214" t="str">
            <v>Production</v>
          </cell>
          <cell r="E214" t="str">
            <v>Gas</v>
          </cell>
          <cell r="F214" t="str">
            <v>Conventional</v>
          </cell>
          <cell r="G214">
            <v>0</v>
          </cell>
          <cell r="H214" t="str">
            <v>Production;Gas;Conventional</v>
          </cell>
          <cell r="I214" t="str">
            <v>Gas;Conventional;0;2</v>
          </cell>
          <cell r="J214" t="str">
            <v>AB</v>
          </cell>
          <cell r="K214" t="str">
            <v>Deep</v>
          </cell>
          <cell r="L214">
            <v>364</v>
          </cell>
          <cell r="M214">
            <v>13650.500016999998</v>
          </cell>
        </row>
        <row r="215">
          <cell r="A215">
            <v>2</v>
          </cell>
          <cell r="B215">
            <v>2001</v>
          </cell>
          <cell r="C215">
            <v>1</v>
          </cell>
          <cell r="D215" t="str">
            <v>Production</v>
          </cell>
          <cell r="E215" t="str">
            <v>Gas</v>
          </cell>
          <cell r="F215" t="str">
            <v>Conventional</v>
          </cell>
          <cell r="G215">
            <v>0</v>
          </cell>
          <cell r="H215" t="str">
            <v>Production;Gas;Conventional</v>
          </cell>
          <cell r="I215" t="str">
            <v>Gas;Conventional;0;2</v>
          </cell>
          <cell r="J215" t="str">
            <v>AB</v>
          </cell>
          <cell r="K215" t="str">
            <v>Medium</v>
          </cell>
          <cell r="L215">
            <v>432</v>
          </cell>
          <cell r="M215">
            <v>6895.6666640000003</v>
          </cell>
        </row>
        <row r="216">
          <cell r="A216">
            <v>2</v>
          </cell>
          <cell r="B216">
            <v>2001</v>
          </cell>
          <cell r="C216">
            <v>1</v>
          </cell>
          <cell r="D216" t="str">
            <v>Production</v>
          </cell>
          <cell r="E216" t="str">
            <v>Gas</v>
          </cell>
          <cell r="F216" t="str">
            <v>Conventional</v>
          </cell>
          <cell r="G216">
            <v>0</v>
          </cell>
          <cell r="H216" t="str">
            <v>Production;Gas;Conventional</v>
          </cell>
          <cell r="I216" t="str">
            <v>Gas;Conventional;0;2</v>
          </cell>
          <cell r="J216" t="str">
            <v>AB</v>
          </cell>
          <cell r="K216" t="str">
            <v>SHALLOW</v>
          </cell>
          <cell r="L216">
            <v>53</v>
          </cell>
          <cell r="M216">
            <v>223.99999970000002</v>
          </cell>
        </row>
        <row r="217">
          <cell r="A217">
            <v>2</v>
          </cell>
          <cell r="B217">
            <v>2001</v>
          </cell>
          <cell r="C217">
            <v>2</v>
          </cell>
          <cell r="D217" t="str">
            <v>Production</v>
          </cell>
          <cell r="E217" t="str">
            <v>Gas</v>
          </cell>
          <cell r="F217" t="str">
            <v>Conventional</v>
          </cell>
          <cell r="G217">
            <v>0</v>
          </cell>
          <cell r="H217" t="str">
            <v>Production;Gas;Conventional</v>
          </cell>
          <cell r="I217" t="str">
            <v>Gas;Conventional;0;2</v>
          </cell>
          <cell r="J217" t="str">
            <v>AB</v>
          </cell>
          <cell r="K217" t="str">
            <v>Deep</v>
          </cell>
          <cell r="L217">
            <v>7</v>
          </cell>
          <cell r="M217">
            <v>115.5</v>
          </cell>
        </row>
        <row r="218">
          <cell r="A218">
            <v>2</v>
          </cell>
          <cell r="B218">
            <v>2001</v>
          </cell>
          <cell r="C218">
            <v>2</v>
          </cell>
          <cell r="D218" t="str">
            <v>Production</v>
          </cell>
          <cell r="E218" t="str">
            <v>Gas</v>
          </cell>
          <cell r="F218" t="str">
            <v>Conventional</v>
          </cell>
          <cell r="G218">
            <v>0</v>
          </cell>
          <cell r="H218" t="str">
            <v>Production;Gas;Conventional</v>
          </cell>
          <cell r="I218" t="str">
            <v>Gas;Conventional;0;2</v>
          </cell>
          <cell r="J218" t="str">
            <v>AB</v>
          </cell>
          <cell r="K218" t="str">
            <v>Medium</v>
          </cell>
          <cell r="L218">
            <v>4</v>
          </cell>
          <cell r="M218">
            <v>195.5</v>
          </cell>
        </row>
        <row r="219">
          <cell r="A219">
            <v>2</v>
          </cell>
          <cell r="B219">
            <v>2002</v>
          </cell>
          <cell r="C219">
            <v>1</v>
          </cell>
          <cell r="D219" t="str">
            <v>Production</v>
          </cell>
          <cell r="E219" t="str">
            <v>Gas</v>
          </cell>
          <cell r="F219" t="str">
            <v>Conventional</v>
          </cell>
          <cell r="G219">
            <v>0</v>
          </cell>
          <cell r="H219" t="str">
            <v>Production;Gas;Conventional</v>
          </cell>
          <cell r="I219" t="str">
            <v>Gas;Conventional;0;2</v>
          </cell>
          <cell r="J219" t="str">
            <v>AB</v>
          </cell>
          <cell r="K219" t="str">
            <v>Deep</v>
          </cell>
          <cell r="L219">
            <v>312</v>
          </cell>
          <cell r="M219">
            <v>10080.666659999999</v>
          </cell>
        </row>
        <row r="220">
          <cell r="A220">
            <v>2</v>
          </cell>
          <cell r="B220">
            <v>2002</v>
          </cell>
          <cell r="C220">
            <v>1</v>
          </cell>
          <cell r="D220" t="str">
            <v>Production</v>
          </cell>
          <cell r="E220" t="str">
            <v>Gas</v>
          </cell>
          <cell r="F220" t="str">
            <v>Conventional</v>
          </cell>
          <cell r="G220">
            <v>0</v>
          </cell>
          <cell r="H220" t="str">
            <v>Production;Gas;Conventional</v>
          </cell>
          <cell r="I220" t="str">
            <v>Gas;Conventional;0;2</v>
          </cell>
          <cell r="J220" t="str">
            <v>AB</v>
          </cell>
          <cell r="K220" t="str">
            <v>MEDIUM</v>
          </cell>
          <cell r="L220">
            <v>432</v>
          </cell>
          <cell r="M220">
            <v>5680.3464308000011</v>
          </cell>
        </row>
        <row r="221">
          <cell r="A221">
            <v>2</v>
          </cell>
          <cell r="B221">
            <v>2002</v>
          </cell>
          <cell r="C221">
            <v>1</v>
          </cell>
          <cell r="D221" t="str">
            <v>Production</v>
          </cell>
          <cell r="E221" t="str">
            <v>Gas</v>
          </cell>
          <cell r="F221" t="str">
            <v>Conventional</v>
          </cell>
          <cell r="G221">
            <v>0</v>
          </cell>
          <cell r="H221" t="str">
            <v>Production;Gas;Conventional</v>
          </cell>
          <cell r="I221" t="str">
            <v>Gas;Conventional;0;2</v>
          </cell>
          <cell r="J221" t="str">
            <v>AB</v>
          </cell>
          <cell r="K221" t="str">
            <v>SHALLOW</v>
          </cell>
          <cell r="L221">
            <v>35</v>
          </cell>
          <cell r="M221">
            <v>149.63333399999999</v>
          </cell>
        </row>
        <row r="222">
          <cell r="A222">
            <v>2</v>
          </cell>
          <cell r="B222">
            <v>2002</v>
          </cell>
          <cell r="C222">
            <v>2</v>
          </cell>
          <cell r="D222" t="str">
            <v>Production</v>
          </cell>
          <cell r="E222" t="str">
            <v>Gas</v>
          </cell>
          <cell r="F222" t="str">
            <v>Conventional</v>
          </cell>
          <cell r="G222">
            <v>0</v>
          </cell>
          <cell r="H222" t="str">
            <v>Production;Gas;Conventional</v>
          </cell>
          <cell r="I222" t="str">
            <v>Gas;Conventional;0;2</v>
          </cell>
          <cell r="J222" t="str">
            <v>AB</v>
          </cell>
          <cell r="K222" t="str">
            <v>Deep</v>
          </cell>
          <cell r="L222">
            <v>6</v>
          </cell>
          <cell r="M222">
            <v>191</v>
          </cell>
        </row>
        <row r="223">
          <cell r="A223">
            <v>2</v>
          </cell>
          <cell r="B223">
            <v>2002</v>
          </cell>
          <cell r="C223">
            <v>2</v>
          </cell>
          <cell r="D223" t="str">
            <v>Production</v>
          </cell>
          <cell r="E223" t="str">
            <v>Gas</v>
          </cell>
          <cell r="F223" t="str">
            <v>Conventional</v>
          </cell>
          <cell r="G223">
            <v>0</v>
          </cell>
          <cell r="H223" t="str">
            <v>Production;Gas;Conventional</v>
          </cell>
          <cell r="I223" t="str">
            <v>Gas;Conventional;0;2</v>
          </cell>
          <cell r="J223" t="str">
            <v>AB</v>
          </cell>
          <cell r="K223" t="str">
            <v>Medium</v>
          </cell>
          <cell r="L223">
            <v>2</v>
          </cell>
          <cell r="M223">
            <v>43</v>
          </cell>
        </row>
        <row r="224">
          <cell r="A224">
            <v>2</v>
          </cell>
          <cell r="B224">
            <v>2003</v>
          </cell>
          <cell r="C224">
            <v>1</v>
          </cell>
          <cell r="D224" t="str">
            <v>Production</v>
          </cell>
          <cell r="E224" t="str">
            <v>Gas</v>
          </cell>
          <cell r="F224" t="str">
            <v>Conventional</v>
          </cell>
          <cell r="G224">
            <v>0</v>
          </cell>
          <cell r="H224" t="str">
            <v>Production;Gas;Conventional</v>
          </cell>
          <cell r="I224" t="str">
            <v>Gas;Conventional;0;2</v>
          </cell>
          <cell r="J224" t="str">
            <v>AB</v>
          </cell>
          <cell r="K224" t="str">
            <v>Deep</v>
          </cell>
          <cell r="L224">
            <v>474</v>
          </cell>
          <cell r="M224">
            <v>13389</v>
          </cell>
        </row>
        <row r="225">
          <cell r="A225">
            <v>2</v>
          </cell>
          <cell r="B225">
            <v>2003</v>
          </cell>
          <cell r="C225">
            <v>1</v>
          </cell>
          <cell r="D225" t="str">
            <v>Production</v>
          </cell>
          <cell r="E225" t="str">
            <v>Gas</v>
          </cell>
          <cell r="F225" t="str">
            <v>Conventional</v>
          </cell>
          <cell r="G225">
            <v>0</v>
          </cell>
          <cell r="H225" t="str">
            <v>Production;Gas;Conventional</v>
          </cell>
          <cell r="I225" t="str">
            <v>Gas;Conventional;0;2</v>
          </cell>
          <cell r="J225" t="str">
            <v>AB</v>
          </cell>
          <cell r="K225" t="str">
            <v>Medium</v>
          </cell>
          <cell r="L225">
            <v>641</v>
          </cell>
          <cell r="M225">
            <v>8434.25</v>
          </cell>
        </row>
        <row r="226">
          <cell r="A226">
            <v>2</v>
          </cell>
          <cell r="B226">
            <v>2003</v>
          </cell>
          <cell r="C226">
            <v>1</v>
          </cell>
          <cell r="D226" t="str">
            <v>Production</v>
          </cell>
          <cell r="E226" t="str">
            <v>Gas</v>
          </cell>
          <cell r="F226" t="str">
            <v>Conventional</v>
          </cell>
          <cell r="G226">
            <v>0</v>
          </cell>
          <cell r="H226" t="str">
            <v>Production;Gas;Conventional</v>
          </cell>
          <cell r="I226" t="str">
            <v>Gas;Conventional;0;2</v>
          </cell>
          <cell r="J226" t="str">
            <v>AB</v>
          </cell>
          <cell r="K226" t="str">
            <v>Shallow</v>
          </cell>
          <cell r="L226">
            <v>83</v>
          </cell>
          <cell r="M226">
            <v>523.93809299999998</v>
          </cell>
        </row>
        <row r="227">
          <cell r="A227">
            <v>2</v>
          </cell>
          <cell r="B227">
            <v>2003</v>
          </cell>
          <cell r="C227">
            <v>2</v>
          </cell>
          <cell r="D227" t="str">
            <v>Production</v>
          </cell>
          <cell r="E227" t="str">
            <v>Gas</v>
          </cell>
          <cell r="F227" t="str">
            <v>Conventional</v>
          </cell>
          <cell r="G227">
            <v>0</v>
          </cell>
          <cell r="H227" t="str">
            <v>Production;Gas;Conventional</v>
          </cell>
          <cell r="I227" t="str">
            <v>Gas;Conventional;0;2</v>
          </cell>
          <cell r="J227" t="str">
            <v>AB</v>
          </cell>
          <cell r="K227" t="str">
            <v>Deep</v>
          </cell>
          <cell r="L227">
            <v>10</v>
          </cell>
          <cell r="M227">
            <v>230</v>
          </cell>
        </row>
        <row r="228">
          <cell r="A228">
            <v>2</v>
          </cell>
          <cell r="B228">
            <v>2003</v>
          </cell>
          <cell r="C228">
            <v>2</v>
          </cell>
          <cell r="D228" t="str">
            <v>Production</v>
          </cell>
          <cell r="E228" t="str">
            <v>Gas</v>
          </cell>
          <cell r="F228" t="str">
            <v>Conventional</v>
          </cell>
          <cell r="G228">
            <v>0</v>
          </cell>
          <cell r="H228" t="str">
            <v>Production;Gas;Conventional</v>
          </cell>
          <cell r="I228" t="str">
            <v>Gas;Conventional;0;2</v>
          </cell>
          <cell r="J228" t="str">
            <v>AB</v>
          </cell>
          <cell r="K228" t="str">
            <v>Medium</v>
          </cell>
          <cell r="L228">
            <v>4</v>
          </cell>
          <cell r="M228">
            <v>52</v>
          </cell>
        </row>
        <row r="229">
          <cell r="A229">
            <v>2</v>
          </cell>
          <cell r="B229">
            <v>2004</v>
          </cell>
          <cell r="C229">
            <v>1</v>
          </cell>
          <cell r="D229" t="str">
            <v>Production</v>
          </cell>
          <cell r="E229" t="str">
            <v>Gas</v>
          </cell>
          <cell r="F229" t="str">
            <v>Conventional</v>
          </cell>
          <cell r="G229">
            <v>0</v>
          </cell>
          <cell r="H229" t="str">
            <v>Production;Gas;Conventional</v>
          </cell>
          <cell r="I229" t="str">
            <v>Gas;Conventional;0;2</v>
          </cell>
          <cell r="J229" t="str">
            <v>AB</v>
          </cell>
          <cell r="K229" t="str">
            <v>Deep</v>
          </cell>
          <cell r="L229">
            <v>561</v>
          </cell>
          <cell r="M229">
            <v>14414.333340000001</v>
          </cell>
        </row>
        <row r="230">
          <cell r="A230">
            <v>2</v>
          </cell>
          <cell r="B230">
            <v>2004</v>
          </cell>
          <cell r="C230">
            <v>1</v>
          </cell>
          <cell r="D230" t="str">
            <v>Production</v>
          </cell>
          <cell r="E230" t="str">
            <v>Gas</v>
          </cell>
          <cell r="F230" t="str">
            <v>Conventional</v>
          </cell>
          <cell r="G230">
            <v>0</v>
          </cell>
          <cell r="H230" t="str">
            <v>Production;Gas;Conventional</v>
          </cell>
          <cell r="I230" t="str">
            <v>Gas;Conventional;0;2</v>
          </cell>
          <cell r="J230" t="str">
            <v>AB</v>
          </cell>
          <cell r="K230" t="str">
            <v>Medium</v>
          </cell>
          <cell r="L230">
            <v>756</v>
          </cell>
          <cell r="M230">
            <v>10051.4167</v>
          </cell>
        </row>
        <row r="231">
          <cell r="A231">
            <v>2</v>
          </cell>
          <cell r="B231">
            <v>2004</v>
          </cell>
          <cell r="C231">
            <v>1</v>
          </cell>
          <cell r="D231" t="str">
            <v>Production</v>
          </cell>
          <cell r="E231" t="str">
            <v>Gas</v>
          </cell>
          <cell r="F231" t="str">
            <v>Conventional</v>
          </cell>
          <cell r="G231">
            <v>0</v>
          </cell>
          <cell r="H231" t="str">
            <v>Production;Gas;Conventional</v>
          </cell>
          <cell r="I231" t="str">
            <v>Gas;Conventional;0;2</v>
          </cell>
          <cell r="J231" t="str">
            <v>AB</v>
          </cell>
          <cell r="K231" t="str">
            <v>Shallow</v>
          </cell>
          <cell r="L231">
            <v>144</v>
          </cell>
          <cell r="M231">
            <v>622.17158300000006</v>
          </cell>
        </row>
        <row r="232">
          <cell r="A232">
            <v>2</v>
          </cell>
          <cell r="B232">
            <v>2004</v>
          </cell>
          <cell r="C232">
            <v>2</v>
          </cell>
          <cell r="D232" t="str">
            <v>Production</v>
          </cell>
          <cell r="E232" t="str">
            <v>Gas</v>
          </cell>
          <cell r="F232" t="str">
            <v>Conventional</v>
          </cell>
          <cell r="G232">
            <v>0</v>
          </cell>
          <cell r="H232" t="str">
            <v>Production;Gas;Conventional</v>
          </cell>
          <cell r="I232" t="str">
            <v>Gas;Conventional;0;2</v>
          </cell>
          <cell r="J232" t="str">
            <v>AB</v>
          </cell>
          <cell r="K232" t="str">
            <v>Deep</v>
          </cell>
          <cell r="L232">
            <v>9</v>
          </cell>
          <cell r="M232">
            <v>215.5</v>
          </cell>
        </row>
        <row r="233">
          <cell r="A233">
            <v>2</v>
          </cell>
          <cell r="B233">
            <v>2004</v>
          </cell>
          <cell r="C233">
            <v>2</v>
          </cell>
          <cell r="D233" t="str">
            <v>Production</v>
          </cell>
          <cell r="E233" t="str">
            <v>Gas</v>
          </cell>
          <cell r="F233" t="str">
            <v>Conventional</v>
          </cell>
          <cell r="G233">
            <v>0</v>
          </cell>
          <cell r="H233" t="str">
            <v>Production;Gas;Conventional</v>
          </cell>
          <cell r="I233" t="str">
            <v>Gas;Conventional;0;2</v>
          </cell>
          <cell r="J233" t="str">
            <v>AB</v>
          </cell>
          <cell r="K233" t="str">
            <v>Medium</v>
          </cell>
          <cell r="L233">
            <v>6</v>
          </cell>
          <cell r="M233">
            <v>48</v>
          </cell>
        </row>
        <row r="234">
          <cell r="A234">
            <v>2</v>
          </cell>
          <cell r="B234">
            <v>2004</v>
          </cell>
          <cell r="C234">
            <v>3</v>
          </cell>
          <cell r="D234" t="str">
            <v>Production</v>
          </cell>
          <cell r="E234" t="str">
            <v>Gas</v>
          </cell>
          <cell r="F234" t="str">
            <v>Conventional</v>
          </cell>
          <cell r="G234">
            <v>0</v>
          </cell>
          <cell r="H234" t="str">
            <v>Production;Gas;Conventional</v>
          </cell>
          <cell r="I234" t="str">
            <v>Gas;Conventional;0;2</v>
          </cell>
          <cell r="J234" t="str">
            <v>AB</v>
          </cell>
          <cell r="K234" t="str">
            <v>Deep</v>
          </cell>
          <cell r="L234">
            <v>2</v>
          </cell>
          <cell r="M234">
            <v>79</v>
          </cell>
        </row>
        <row r="235">
          <cell r="A235">
            <v>2</v>
          </cell>
          <cell r="B235">
            <v>2005</v>
          </cell>
          <cell r="C235">
            <v>1</v>
          </cell>
          <cell r="D235" t="str">
            <v>Production</v>
          </cell>
          <cell r="E235" t="str">
            <v>Gas</v>
          </cell>
          <cell r="F235" t="str">
            <v>Conventional</v>
          </cell>
          <cell r="G235">
            <v>0</v>
          </cell>
          <cell r="H235" t="str">
            <v>Production;Gas;Conventional</v>
          </cell>
          <cell r="I235" t="str">
            <v>Gas;Conventional;0;2</v>
          </cell>
          <cell r="J235" t="str">
            <v>AB</v>
          </cell>
          <cell r="K235" t="str">
            <v>Deep</v>
          </cell>
          <cell r="L235">
            <v>687</v>
          </cell>
          <cell r="M235">
            <v>16596.249993999998</v>
          </cell>
        </row>
        <row r="236">
          <cell r="A236">
            <v>2</v>
          </cell>
          <cell r="B236">
            <v>2005</v>
          </cell>
          <cell r="C236">
            <v>1</v>
          </cell>
          <cell r="D236" t="str">
            <v>Production</v>
          </cell>
          <cell r="E236" t="str">
            <v>Gas</v>
          </cell>
          <cell r="F236" t="str">
            <v>Conventional</v>
          </cell>
          <cell r="G236">
            <v>0</v>
          </cell>
          <cell r="H236" t="str">
            <v>Production;Gas;Conventional</v>
          </cell>
          <cell r="I236" t="str">
            <v>Gas;Conventional;0;2</v>
          </cell>
          <cell r="J236" t="str">
            <v>AB</v>
          </cell>
          <cell r="K236" t="str">
            <v>Medium</v>
          </cell>
          <cell r="L236">
            <v>921</v>
          </cell>
          <cell r="M236">
            <v>12663.499967</v>
          </cell>
        </row>
        <row r="237">
          <cell r="A237">
            <v>2</v>
          </cell>
          <cell r="B237">
            <v>2005</v>
          </cell>
          <cell r="C237">
            <v>1</v>
          </cell>
          <cell r="D237" t="str">
            <v>Production</v>
          </cell>
          <cell r="E237" t="str">
            <v>Gas</v>
          </cell>
          <cell r="F237" t="str">
            <v>Conventional</v>
          </cell>
          <cell r="G237">
            <v>0</v>
          </cell>
          <cell r="H237" t="str">
            <v>Production;Gas;Conventional</v>
          </cell>
          <cell r="I237" t="str">
            <v>Gas;Conventional;0;2</v>
          </cell>
          <cell r="J237" t="str">
            <v>AB</v>
          </cell>
          <cell r="K237" t="str">
            <v>Shallow</v>
          </cell>
          <cell r="L237">
            <v>193</v>
          </cell>
          <cell r="M237">
            <v>898.54847140000004</v>
          </cell>
        </row>
        <row r="238">
          <cell r="A238">
            <v>2</v>
          </cell>
          <cell r="B238">
            <v>2005</v>
          </cell>
          <cell r="C238">
            <v>2</v>
          </cell>
          <cell r="D238" t="str">
            <v>Production</v>
          </cell>
          <cell r="E238" t="str">
            <v>Gas</v>
          </cell>
          <cell r="F238" t="str">
            <v>Conventional</v>
          </cell>
          <cell r="G238">
            <v>0</v>
          </cell>
          <cell r="H238" t="str">
            <v>Production;Gas;Conventional</v>
          </cell>
          <cell r="I238" t="str">
            <v>Gas;Conventional;0;2</v>
          </cell>
          <cell r="J238" t="str">
            <v>AB</v>
          </cell>
          <cell r="K238" t="str">
            <v>Deep</v>
          </cell>
          <cell r="L238">
            <v>6</v>
          </cell>
          <cell r="M238">
            <v>156</v>
          </cell>
        </row>
        <row r="239">
          <cell r="A239">
            <v>2</v>
          </cell>
          <cell r="B239">
            <v>2005</v>
          </cell>
          <cell r="C239">
            <v>2</v>
          </cell>
          <cell r="D239" t="str">
            <v>Production</v>
          </cell>
          <cell r="E239" t="str">
            <v>Gas</v>
          </cell>
          <cell r="F239" t="str">
            <v>Conventional</v>
          </cell>
          <cell r="G239">
            <v>0</v>
          </cell>
          <cell r="H239" t="str">
            <v>Production;Gas;Conventional</v>
          </cell>
          <cell r="I239" t="str">
            <v>Gas;Conventional;0;2</v>
          </cell>
          <cell r="J239" t="str">
            <v>AB</v>
          </cell>
          <cell r="K239" t="str">
            <v>Medium</v>
          </cell>
          <cell r="L239">
            <v>2</v>
          </cell>
          <cell r="M239">
            <v>23</v>
          </cell>
        </row>
        <row r="240">
          <cell r="A240">
            <v>2</v>
          </cell>
          <cell r="B240">
            <v>2006</v>
          </cell>
          <cell r="C240">
            <v>1</v>
          </cell>
          <cell r="D240" t="str">
            <v>Production</v>
          </cell>
          <cell r="E240" t="str">
            <v>Gas</v>
          </cell>
          <cell r="F240" t="str">
            <v>Conventional</v>
          </cell>
          <cell r="G240">
            <v>0</v>
          </cell>
          <cell r="H240" t="str">
            <v>Production;Gas;Conventional</v>
          </cell>
          <cell r="I240" t="str">
            <v>Gas;Conventional;0;2</v>
          </cell>
          <cell r="J240" t="str">
            <v>AB</v>
          </cell>
          <cell r="K240" t="str">
            <v>Deep</v>
          </cell>
          <cell r="L240">
            <v>643</v>
          </cell>
          <cell r="M240">
            <v>15378.499959999999</v>
          </cell>
        </row>
        <row r="241">
          <cell r="A241">
            <v>2</v>
          </cell>
          <cell r="B241">
            <v>2006</v>
          </cell>
          <cell r="C241">
            <v>1</v>
          </cell>
          <cell r="D241" t="str">
            <v>Production</v>
          </cell>
          <cell r="E241" t="str">
            <v>Gas</v>
          </cell>
          <cell r="F241" t="str">
            <v>Conventional</v>
          </cell>
          <cell r="G241">
            <v>0</v>
          </cell>
          <cell r="H241" t="str">
            <v>Production;Gas;Conventional</v>
          </cell>
          <cell r="I241" t="str">
            <v>Gas;Conventional;0;2</v>
          </cell>
          <cell r="J241" t="str">
            <v>AB</v>
          </cell>
          <cell r="K241" t="str">
            <v>Medium</v>
          </cell>
          <cell r="L241">
            <v>861</v>
          </cell>
          <cell r="M241">
            <v>11549.500033</v>
          </cell>
        </row>
        <row r="242">
          <cell r="A242">
            <v>2</v>
          </cell>
          <cell r="B242">
            <v>2006</v>
          </cell>
          <cell r="C242">
            <v>1</v>
          </cell>
          <cell r="D242" t="str">
            <v>Production</v>
          </cell>
          <cell r="E242" t="str">
            <v>Gas</v>
          </cell>
          <cell r="F242" t="str">
            <v>Conventional</v>
          </cell>
          <cell r="G242">
            <v>0</v>
          </cell>
          <cell r="H242" t="str">
            <v>Production;Gas;Conventional</v>
          </cell>
          <cell r="I242" t="str">
            <v>Gas;Conventional;0;2</v>
          </cell>
          <cell r="J242" t="str">
            <v>AB</v>
          </cell>
          <cell r="K242" t="str">
            <v>Shallow</v>
          </cell>
          <cell r="L242">
            <v>133</v>
          </cell>
          <cell r="M242">
            <v>503.07344929999999</v>
          </cell>
        </row>
        <row r="243">
          <cell r="A243">
            <v>2</v>
          </cell>
          <cell r="B243">
            <v>2006</v>
          </cell>
          <cell r="C243">
            <v>2</v>
          </cell>
          <cell r="D243" t="str">
            <v>Production</v>
          </cell>
          <cell r="E243" t="str">
            <v>Gas</v>
          </cell>
          <cell r="F243" t="str">
            <v>Conventional</v>
          </cell>
          <cell r="G243">
            <v>0</v>
          </cell>
          <cell r="H243" t="str">
            <v>Production;Gas;Conventional</v>
          </cell>
          <cell r="I243" t="str">
            <v>Gas;Conventional;0;2</v>
          </cell>
          <cell r="J243" t="str">
            <v>AB</v>
          </cell>
          <cell r="K243" t="str">
            <v>Deep</v>
          </cell>
          <cell r="L243">
            <v>3</v>
          </cell>
          <cell r="M243">
            <v>138</v>
          </cell>
        </row>
        <row r="244">
          <cell r="A244">
            <v>2</v>
          </cell>
          <cell r="B244">
            <v>2006</v>
          </cell>
          <cell r="C244">
            <v>2</v>
          </cell>
          <cell r="D244" t="str">
            <v>Production</v>
          </cell>
          <cell r="E244" t="str">
            <v>Gas</v>
          </cell>
          <cell r="F244" t="str">
            <v>Conventional</v>
          </cell>
          <cell r="G244">
            <v>0</v>
          </cell>
          <cell r="H244" t="str">
            <v>Production;Gas;Conventional</v>
          </cell>
          <cell r="I244" t="str">
            <v>Gas;Conventional;0;2</v>
          </cell>
          <cell r="J244" t="str">
            <v>AB</v>
          </cell>
          <cell r="K244" t="str">
            <v>Medium</v>
          </cell>
          <cell r="L244">
            <v>5</v>
          </cell>
          <cell r="M244">
            <v>59</v>
          </cell>
        </row>
        <row r="245">
          <cell r="A245">
            <v>2</v>
          </cell>
          <cell r="B245">
            <v>2007</v>
          </cell>
          <cell r="C245">
            <v>1</v>
          </cell>
          <cell r="D245" t="str">
            <v>Production</v>
          </cell>
          <cell r="E245" t="str">
            <v>Gas</v>
          </cell>
          <cell r="F245" t="str">
            <v>Conventional</v>
          </cell>
          <cell r="G245">
            <v>0</v>
          </cell>
          <cell r="H245" t="str">
            <v>Production;Gas;Conventional</v>
          </cell>
          <cell r="I245" t="str">
            <v>Gas;Conventional;0;2</v>
          </cell>
          <cell r="J245" t="str">
            <v>AB</v>
          </cell>
          <cell r="K245" t="str">
            <v>Deep</v>
          </cell>
          <cell r="L245">
            <v>92</v>
          </cell>
          <cell r="M245">
            <v>1834</v>
          </cell>
        </row>
        <row r="246">
          <cell r="A246">
            <v>2</v>
          </cell>
          <cell r="B246">
            <v>2007</v>
          </cell>
          <cell r="C246">
            <v>1</v>
          </cell>
          <cell r="D246" t="str">
            <v>Production</v>
          </cell>
          <cell r="E246" t="str">
            <v>Gas</v>
          </cell>
          <cell r="F246" t="str">
            <v>Conventional</v>
          </cell>
          <cell r="G246">
            <v>0</v>
          </cell>
          <cell r="H246" t="str">
            <v>Production;Gas;Conventional</v>
          </cell>
          <cell r="I246" t="str">
            <v>Gas;Conventional;0;2</v>
          </cell>
          <cell r="J246" t="str">
            <v>AB</v>
          </cell>
          <cell r="K246" t="str">
            <v>Medium</v>
          </cell>
          <cell r="L246">
            <v>103</v>
          </cell>
          <cell r="M246">
            <v>1097</v>
          </cell>
        </row>
        <row r="247">
          <cell r="A247">
            <v>2</v>
          </cell>
          <cell r="B247">
            <v>2007</v>
          </cell>
          <cell r="C247">
            <v>1</v>
          </cell>
          <cell r="D247" t="str">
            <v>Production</v>
          </cell>
          <cell r="E247" t="str">
            <v>Gas</v>
          </cell>
          <cell r="F247" t="str">
            <v>Conventional</v>
          </cell>
          <cell r="G247">
            <v>0</v>
          </cell>
          <cell r="H247" t="str">
            <v>Production;Gas;Conventional</v>
          </cell>
          <cell r="I247" t="str">
            <v>Gas;Conventional;0;2</v>
          </cell>
          <cell r="J247" t="str">
            <v>AB</v>
          </cell>
          <cell r="K247" t="str">
            <v>Shallow</v>
          </cell>
          <cell r="L247">
            <v>11</v>
          </cell>
          <cell r="M247">
            <v>77.595640000000003</v>
          </cell>
        </row>
        <row r="248">
          <cell r="A248">
            <v>2</v>
          </cell>
          <cell r="B248">
            <v>2007</v>
          </cell>
          <cell r="C248">
            <v>2</v>
          </cell>
          <cell r="D248" t="str">
            <v>Production</v>
          </cell>
          <cell r="E248" t="str">
            <v>Gas</v>
          </cell>
          <cell r="F248" t="str">
            <v>Conventional</v>
          </cell>
          <cell r="G248">
            <v>0</v>
          </cell>
          <cell r="H248" t="str">
            <v>Production;Gas;Conventional</v>
          </cell>
          <cell r="I248" t="str">
            <v>Gas;Conventional;0;2</v>
          </cell>
          <cell r="J248" t="str">
            <v>AB</v>
          </cell>
          <cell r="K248" t="str">
            <v>Deep</v>
          </cell>
          <cell r="L248">
            <v>2</v>
          </cell>
          <cell r="M248">
            <v>75</v>
          </cell>
        </row>
        <row r="249">
          <cell r="A249">
            <v>3</v>
          </cell>
          <cell r="B249">
            <v>2000</v>
          </cell>
          <cell r="C249">
            <v>1</v>
          </cell>
          <cell r="D249" t="str">
            <v>Production</v>
          </cell>
          <cell r="E249" t="str">
            <v>Gas</v>
          </cell>
          <cell r="F249" t="str">
            <v>Conventional</v>
          </cell>
          <cell r="G249">
            <v>0</v>
          </cell>
          <cell r="H249" t="str">
            <v>Production;Gas;Conventional</v>
          </cell>
          <cell r="I249" t="str">
            <v>Gas;Conventional;0;3</v>
          </cell>
          <cell r="J249" t="str">
            <v>AB</v>
          </cell>
          <cell r="K249" t="str">
            <v>Deep</v>
          </cell>
          <cell r="L249">
            <v>18</v>
          </cell>
          <cell r="M249">
            <v>483</v>
          </cell>
        </row>
        <row r="250">
          <cell r="A250">
            <v>3</v>
          </cell>
          <cell r="B250">
            <v>2000</v>
          </cell>
          <cell r="C250">
            <v>1</v>
          </cell>
          <cell r="D250" t="str">
            <v>Production</v>
          </cell>
          <cell r="E250" t="str">
            <v>Gas</v>
          </cell>
          <cell r="F250" t="str">
            <v>Conventional</v>
          </cell>
          <cell r="G250">
            <v>0</v>
          </cell>
          <cell r="H250" t="str">
            <v>Production;Gas;Conventional</v>
          </cell>
          <cell r="I250" t="str">
            <v>Gas;Conventional;0;3</v>
          </cell>
          <cell r="J250" t="str">
            <v>AB</v>
          </cell>
          <cell r="K250" t="str">
            <v>Medium</v>
          </cell>
          <cell r="L250">
            <v>644</v>
          </cell>
          <cell r="M250">
            <v>2865.5059768499996</v>
          </cell>
        </row>
        <row r="251">
          <cell r="A251">
            <v>3</v>
          </cell>
          <cell r="B251">
            <v>2000</v>
          </cell>
          <cell r="C251">
            <v>1</v>
          </cell>
          <cell r="D251" t="str">
            <v>Production</v>
          </cell>
          <cell r="E251" t="str">
            <v>Gas</v>
          </cell>
          <cell r="F251" t="str">
            <v>Conventional</v>
          </cell>
          <cell r="G251">
            <v>0</v>
          </cell>
          <cell r="H251" t="str">
            <v>Production;Gas;Conventional</v>
          </cell>
          <cell r="I251" t="str">
            <v>Gas;Conventional;0;3</v>
          </cell>
          <cell r="J251" t="str">
            <v>AB</v>
          </cell>
          <cell r="K251" t="str">
            <v>SHALLOW</v>
          </cell>
          <cell r="L251">
            <v>3622</v>
          </cell>
          <cell r="M251">
            <v>7278.0862810800027</v>
          </cell>
        </row>
        <row r="252">
          <cell r="A252">
            <v>3</v>
          </cell>
          <cell r="B252">
            <v>2000</v>
          </cell>
          <cell r="C252">
            <v>2</v>
          </cell>
          <cell r="D252" t="str">
            <v>Production</v>
          </cell>
          <cell r="E252" t="str">
            <v>Gas</v>
          </cell>
          <cell r="F252" t="str">
            <v>Conventional</v>
          </cell>
          <cell r="G252">
            <v>0</v>
          </cell>
          <cell r="H252" t="str">
            <v>Production;Gas;Conventional</v>
          </cell>
          <cell r="I252" t="str">
            <v>Gas;Conventional;0;3</v>
          </cell>
          <cell r="J252" t="str">
            <v>AB</v>
          </cell>
          <cell r="K252" t="str">
            <v>Deep</v>
          </cell>
          <cell r="L252">
            <v>2</v>
          </cell>
          <cell r="M252">
            <v>28</v>
          </cell>
        </row>
        <row r="253">
          <cell r="A253">
            <v>3</v>
          </cell>
          <cell r="B253">
            <v>2000</v>
          </cell>
          <cell r="C253">
            <v>2</v>
          </cell>
          <cell r="D253" t="str">
            <v>Production</v>
          </cell>
          <cell r="E253" t="str">
            <v>Gas</v>
          </cell>
          <cell r="F253" t="str">
            <v>Conventional</v>
          </cell>
          <cell r="G253">
            <v>0</v>
          </cell>
          <cell r="H253" t="str">
            <v>Production;Gas;Conventional</v>
          </cell>
          <cell r="I253" t="str">
            <v>Gas;Conventional;0;3</v>
          </cell>
          <cell r="J253" t="str">
            <v>AB</v>
          </cell>
          <cell r="K253" t="str">
            <v>Medium</v>
          </cell>
          <cell r="L253">
            <v>2</v>
          </cell>
          <cell r="M253">
            <v>15</v>
          </cell>
        </row>
        <row r="254">
          <cell r="A254">
            <v>3</v>
          </cell>
          <cell r="B254">
            <v>2000</v>
          </cell>
          <cell r="C254">
            <v>2</v>
          </cell>
          <cell r="D254" t="str">
            <v>Production</v>
          </cell>
          <cell r="E254" t="str">
            <v>Gas</v>
          </cell>
          <cell r="F254" t="str">
            <v>Conventional</v>
          </cell>
          <cell r="G254">
            <v>0</v>
          </cell>
          <cell r="H254" t="str">
            <v>Production;Gas;Conventional</v>
          </cell>
          <cell r="I254" t="str">
            <v>Gas;Conventional;0;3</v>
          </cell>
          <cell r="J254" t="str">
            <v>AB</v>
          </cell>
          <cell r="K254" t="str">
            <v>Shallow</v>
          </cell>
          <cell r="L254">
            <v>11</v>
          </cell>
          <cell r="M254">
            <v>8</v>
          </cell>
        </row>
        <row r="255">
          <cell r="A255">
            <v>3</v>
          </cell>
          <cell r="B255">
            <v>2000</v>
          </cell>
          <cell r="C255">
            <v>3</v>
          </cell>
          <cell r="D255" t="str">
            <v>Production</v>
          </cell>
          <cell r="E255" t="str">
            <v>Gas</v>
          </cell>
          <cell r="F255" t="str">
            <v>Conventional</v>
          </cell>
          <cell r="G255">
            <v>0</v>
          </cell>
          <cell r="H255" t="str">
            <v>Production;Gas;Conventional</v>
          </cell>
          <cell r="I255" t="str">
            <v>Gas;Conventional;0;3</v>
          </cell>
          <cell r="J255" t="str">
            <v>AB</v>
          </cell>
          <cell r="K255" t="str">
            <v>Deep</v>
          </cell>
          <cell r="L255">
            <v>1</v>
          </cell>
          <cell r="M255">
            <v>12.5</v>
          </cell>
        </row>
        <row r="256">
          <cell r="A256">
            <v>3</v>
          </cell>
          <cell r="B256">
            <v>2001</v>
          </cell>
          <cell r="C256">
            <v>1</v>
          </cell>
          <cell r="D256" t="str">
            <v>Production</v>
          </cell>
          <cell r="E256" t="str">
            <v>Gas</v>
          </cell>
          <cell r="F256" t="str">
            <v>Conventional</v>
          </cell>
          <cell r="G256">
            <v>0</v>
          </cell>
          <cell r="H256" t="str">
            <v>Production;Gas;Conventional</v>
          </cell>
          <cell r="I256" t="str">
            <v>Gas;Conventional;0;3</v>
          </cell>
          <cell r="J256" t="str">
            <v>AB</v>
          </cell>
          <cell r="K256" t="str">
            <v>Deep</v>
          </cell>
          <cell r="L256">
            <v>18</v>
          </cell>
          <cell r="M256">
            <v>413.4</v>
          </cell>
        </row>
        <row r="257">
          <cell r="A257">
            <v>3</v>
          </cell>
          <cell r="B257">
            <v>2001</v>
          </cell>
          <cell r="C257">
            <v>1</v>
          </cell>
          <cell r="D257" t="str">
            <v>Production</v>
          </cell>
          <cell r="E257" t="str">
            <v>Gas</v>
          </cell>
          <cell r="F257" t="str">
            <v>Conventional</v>
          </cell>
          <cell r="G257">
            <v>0</v>
          </cell>
          <cell r="H257" t="str">
            <v>Production;Gas;Conventional</v>
          </cell>
          <cell r="I257" t="str">
            <v>Gas;Conventional;0;3</v>
          </cell>
          <cell r="J257" t="str">
            <v>AB</v>
          </cell>
          <cell r="K257" t="str">
            <v>MEDIUM</v>
          </cell>
          <cell r="L257">
            <v>785</v>
          </cell>
          <cell r="M257">
            <v>3592.3332880000007</v>
          </cell>
        </row>
        <row r="258">
          <cell r="A258">
            <v>3</v>
          </cell>
          <cell r="B258">
            <v>2001</v>
          </cell>
          <cell r="C258">
            <v>1</v>
          </cell>
          <cell r="D258" t="str">
            <v>Production</v>
          </cell>
          <cell r="E258" t="str">
            <v>Gas</v>
          </cell>
          <cell r="F258" t="str">
            <v>Conventional</v>
          </cell>
          <cell r="G258">
            <v>0</v>
          </cell>
          <cell r="H258" t="str">
            <v>Production;Gas;Conventional</v>
          </cell>
          <cell r="I258" t="str">
            <v>Gas;Conventional;0;3</v>
          </cell>
          <cell r="J258" t="str">
            <v>AB</v>
          </cell>
          <cell r="K258" t="str">
            <v>Shallow</v>
          </cell>
          <cell r="L258">
            <v>4157</v>
          </cell>
          <cell r="M258">
            <v>6891.221172889972</v>
          </cell>
        </row>
        <row r="259">
          <cell r="A259">
            <v>3</v>
          </cell>
          <cell r="B259">
            <v>2001</v>
          </cell>
          <cell r="C259">
            <v>2</v>
          </cell>
          <cell r="D259" t="str">
            <v>Production</v>
          </cell>
          <cell r="E259" t="str">
            <v>Gas</v>
          </cell>
          <cell r="F259" t="str">
            <v>Conventional</v>
          </cell>
          <cell r="G259">
            <v>0</v>
          </cell>
          <cell r="H259" t="str">
            <v>Production;Gas;Conventional</v>
          </cell>
          <cell r="I259" t="str">
            <v>Gas;Conventional;0;3</v>
          </cell>
          <cell r="J259" t="str">
            <v>AB</v>
          </cell>
          <cell r="K259" t="str">
            <v>Medium</v>
          </cell>
          <cell r="L259">
            <v>8</v>
          </cell>
          <cell r="M259">
            <v>24</v>
          </cell>
        </row>
        <row r="260">
          <cell r="A260">
            <v>3</v>
          </cell>
          <cell r="B260">
            <v>2001</v>
          </cell>
          <cell r="C260">
            <v>2</v>
          </cell>
          <cell r="D260" t="str">
            <v>Production</v>
          </cell>
          <cell r="E260" t="str">
            <v>Gas</v>
          </cell>
          <cell r="F260" t="str">
            <v>Conventional</v>
          </cell>
          <cell r="G260">
            <v>0</v>
          </cell>
          <cell r="H260" t="str">
            <v>Production;Gas;Conventional</v>
          </cell>
          <cell r="I260" t="str">
            <v>Gas;Conventional;0;3</v>
          </cell>
          <cell r="J260" t="str">
            <v>AB</v>
          </cell>
          <cell r="K260" t="str">
            <v>Shallow</v>
          </cell>
          <cell r="L260">
            <v>52</v>
          </cell>
          <cell r="M260">
            <v>18.699999299999995</v>
          </cell>
        </row>
        <row r="261">
          <cell r="A261">
            <v>3</v>
          </cell>
          <cell r="B261">
            <v>2001</v>
          </cell>
          <cell r="C261">
            <v>3</v>
          </cell>
          <cell r="D261" t="str">
            <v>Production</v>
          </cell>
          <cell r="E261" t="str">
            <v>Gas</v>
          </cell>
          <cell r="F261" t="str">
            <v>Conventional</v>
          </cell>
          <cell r="G261">
            <v>0</v>
          </cell>
          <cell r="H261" t="str">
            <v>Production;Gas;Conventional</v>
          </cell>
          <cell r="I261" t="str">
            <v>Gas;Conventional;0;3</v>
          </cell>
          <cell r="J261" t="str">
            <v>AB</v>
          </cell>
          <cell r="K261" t="str">
            <v>Deep</v>
          </cell>
          <cell r="L261">
            <v>1</v>
          </cell>
          <cell r="M261">
            <v>17</v>
          </cell>
        </row>
        <row r="262">
          <cell r="A262">
            <v>3</v>
          </cell>
          <cell r="B262">
            <v>2002</v>
          </cell>
          <cell r="C262">
            <v>1</v>
          </cell>
          <cell r="D262" t="str">
            <v>Production</v>
          </cell>
          <cell r="E262" t="str">
            <v>Gas</v>
          </cell>
          <cell r="F262" t="str">
            <v>Conventional</v>
          </cell>
          <cell r="G262">
            <v>0</v>
          </cell>
          <cell r="H262" t="str">
            <v>Production;Gas;Conventional</v>
          </cell>
          <cell r="I262" t="str">
            <v>Gas;Conventional;0;3</v>
          </cell>
          <cell r="J262" t="str">
            <v>AB</v>
          </cell>
          <cell r="K262" t="str">
            <v>DEEP</v>
          </cell>
          <cell r="L262">
            <v>12</v>
          </cell>
          <cell r="M262">
            <v>261</v>
          </cell>
        </row>
        <row r="263">
          <cell r="A263">
            <v>3</v>
          </cell>
          <cell r="B263">
            <v>2002</v>
          </cell>
          <cell r="C263">
            <v>1</v>
          </cell>
          <cell r="D263" t="str">
            <v>Production</v>
          </cell>
          <cell r="E263" t="str">
            <v>Gas</v>
          </cell>
          <cell r="F263" t="str">
            <v>Conventional</v>
          </cell>
          <cell r="G263">
            <v>0</v>
          </cell>
          <cell r="H263" t="str">
            <v>Production;Gas;Conventional</v>
          </cell>
          <cell r="I263" t="str">
            <v>Gas;Conventional;0;3</v>
          </cell>
          <cell r="J263" t="str">
            <v>AB</v>
          </cell>
          <cell r="K263" t="str">
            <v>Medium</v>
          </cell>
          <cell r="L263">
            <v>662</v>
          </cell>
          <cell r="M263">
            <v>2765.9702708999994</v>
          </cell>
        </row>
        <row r="264">
          <cell r="A264">
            <v>3</v>
          </cell>
          <cell r="B264">
            <v>2002</v>
          </cell>
          <cell r="C264">
            <v>1</v>
          </cell>
          <cell r="D264" t="str">
            <v>Production</v>
          </cell>
          <cell r="E264" t="str">
            <v>Gas</v>
          </cell>
          <cell r="F264" t="str">
            <v>Conventional</v>
          </cell>
          <cell r="G264">
            <v>0</v>
          </cell>
          <cell r="H264" t="str">
            <v>Production;Gas;Conventional</v>
          </cell>
          <cell r="I264" t="str">
            <v>Gas;Conventional;0;3</v>
          </cell>
          <cell r="J264" t="str">
            <v>AB</v>
          </cell>
          <cell r="K264" t="str">
            <v>Shallow</v>
          </cell>
          <cell r="L264">
            <v>3435</v>
          </cell>
          <cell r="M264">
            <v>5658.2621759100048</v>
          </cell>
        </row>
        <row r="265">
          <cell r="A265">
            <v>3</v>
          </cell>
          <cell r="B265">
            <v>2002</v>
          </cell>
          <cell r="C265">
            <v>2</v>
          </cell>
          <cell r="D265" t="str">
            <v>Production</v>
          </cell>
          <cell r="E265" t="str">
            <v>Gas</v>
          </cell>
          <cell r="F265" t="str">
            <v>Conventional</v>
          </cell>
          <cell r="G265">
            <v>0</v>
          </cell>
          <cell r="H265" t="str">
            <v>Production;Gas;Conventional</v>
          </cell>
          <cell r="I265" t="str">
            <v>Gas;Conventional;0;3</v>
          </cell>
          <cell r="J265" t="str">
            <v>AB</v>
          </cell>
          <cell r="K265" t="str">
            <v>Medium</v>
          </cell>
          <cell r="L265">
            <v>1</v>
          </cell>
          <cell r="M265">
            <v>12</v>
          </cell>
        </row>
        <row r="266">
          <cell r="A266">
            <v>3</v>
          </cell>
          <cell r="B266">
            <v>2002</v>
          </cell>
          <cell r="C266">
            <v>2</v>
          </cell>
          <cell r="D266" t="str">
            <v>Production</v>
          </cell>
          <cell r="E266" t="str">
            <v>Gas</v>
          </cell>
          <cell r="F266" t="str">
            <v>Conventional</v>
          </cell>
          <cell r="G266">
            <v>0</v>
          </cell>
          <cell r="H266" t="str">
            <v>Production;Gas;Conventional</v>
          </cell>
          <cell r="I266" t="str">
            <v>Gas;Conventional;0;3</v>
          </cell>
          <cell r="J266" t="str">
            <v>AB</v>
          </cell>
          <cell r="K266" t="str">
            <v>Shallow</v>
          </cell>
          <cell r="L266">
            <v>83</v>
          </cell>
          <cell r="M266">
            <v>67.603846070000031</v>
          </cell>
        </row>
        <row r="267">
          <cell r="A267">
            <v>3</v>
          </cell>
          <cell r="B267">
            <v>2003</v>
          </cell>
          <cell r="C267">
            <v>1</v>
          </cell>
          <cell r="D267" t="str">
            <v>Production</v>
          </cell>
          <cell r="E267" t="str">
            <v>Gas</v>
          </cell>
          <cell r="F267" t="str">
            <v>Conventional</v>
          </cell>
          <cell r="G267">
            <v>0</v>
          </cell>
          <cell r="H267" t="str">
            <v>Production;Gas;Conventional</v>
          </cell>
          <cell r="I267" t="str">
            <v>Gas;Conventional;0;3</v>
          </cell>
          <cell r="J267" t="str">
            <v>AB</v>
          </cell>
          <cell r="K267" t="str">
            <v>Deep</v>
          </cell>
          <cell r="L267">
            <v>20</v>
          </cell>
          <cell r="M267">
            <v>315</v>
          </cell>
        </row>
        <row r="268">
          <cell r="A268">
            <v>3</v>
          </cell>
          <cell r="B268">
            <v>2003</v>
          </cell>
          <cell r="C268">
            <v>1</v>
          </cell>
          <cell r="D268" t="str">
            <v>Production</v>
          </cell>
          <cell r="E268" t="str">
            <v>Gas</v>
          </cell>
          <cell r="F268" t="str">
            <v>Conventional</v>
          </cell>
          <cell r="G268">
            <v>0</v>
          </cell>
          <cell r="H268" t="str">
            <v>Production;Gas;Conventional</v>
          </cell>
          <cell r="I268" t="str">
            <v>Gas;Conventional;0;3</v>
          </cell>
          <cell r="J268" t="str">
            <v>AB</v>
          </cell>
          <cell r="K268" t="str">
            <v>Medium</v>
          </cell>
          <cell r="L268">
            <v>832</v>
          </cell>
          <cell r="M268">
            <v>3350.9667213000012</v>
          </cell>
        </row>
        <row r="269">
          <cell r="A269">
            <v>3</v>
          </cell>
          <cell r="B269">
            <v>2003</v>
          </cell>
          <cell r="C269">
            <v>1</v>
          </cell>
          <cell r="D269" t="str">
            <v>Production</v>
          </cell>
          <cell r="E269" t="str">
            <v>Gas</v>
          </cell>
          <cell r="F269" t="str">
            <v>Conventional</v>
          </cell>
          <cell r="G269">
            <v>0</v>
          </cell>
          <cell r="H269" t="str">
            <v>Production;Gas;Conventional</v>
          </cell>
          <cell r="I269" t="str">
            <v>Gas;Conventional;0;3</v>
          </cell>
          <cell r="J269" t="str">
            <v>AB</v>
          </cell>
          <cell r="K269" t="str">
            <v>Shallow</v>
          </cell>
          <cell r="L269">
            <v>5453</v>
          </cell>
          <cell r="M269">
            <v>8910.9250353299776</v>
          </cell>
        </row>
        <row r="270">
          <cell r="A270">
            <v>3</v>
          </cell>
          <cell r="B270">
            <v>2003</v>
          </cell>
          <cell r="C270">
            <v>2</v>
          </cell>
          <cell r="D270" t="str">
            <v>Production</v>
          </cell>
          <cell r="E270" t="str">
            <v>Gas</v>
          </cell>
          <cell r="F270" t="str">
            <v>Conventional</v>
          </cell>
          <cell r="G270">
            <v>0</v>
          </cell>
          <cell r="H270" t="str">
            <v>Production;Gas;Conventional</v>
          </cell>
          <cell r="I270" t="str">
            <v>Gas;Conventional;0;3</v>
          </cell>
          <cell r="J270" t="str">
            <v>AB</v>
          </cell>
          <cell r="K270" t="str">
            <v>Medium</v>
          </cell>
          <cell r="L270">
            <v>2</v>
          </cell>
          <cell r="M270">
            <v>2</v>
          </cell>
        </row>
        <row r="271">
          <cell r="A271">
            <v>3</v>
          </cell>
          <cell r="B271">
            <v>2003</v>
          </cell>
          <cell r="C271">
            <v>2</v>
          </cell>
          <cell r="D271" t="str">
            <v>Production</v>
          </cell>
          <cell r="E271" t="str">
            <v>Gas</v>
          </cell>
          <cell r="F271" t="str">
            <v>Conventional</v>
          </cell>
          <cell r="G271">
            <v>0</v>
          </cell>
          <cell r="H271" t="str">
            <v>Production;Gas;Conventional</v>
          </cell>
          <cell r="I271" t="str">
            <v>Gas;Conventional;0;3</v>
          </cell>
          <cell r="J271" t="str">
            <v>AB</v>
          </cell>
          <cell r="K271" t="str">
            <v>Shallow</v>
          </cell>
          <cell r="L271">
            <v>51</v>
          </cell>
          <cell r="M271">
            <v>39.0333331</v>
          </cell>
        </row>
        <row r="272">
          <cell r="A272">
            <v>3</v>
          </cell>
          <cell r="B272">
            <v>2004</v>
          </cell>
          <cell r="C272">
            <v>1</v>
          </cell>
          <cell r="D272" t="str">
            <v>Production</v>
          </cell>
          <cell r="E272" t="str">
            <v>Gas</v>
          </cell>
          <cell r="F272" t="str">
            <v>Conventional</v>
          </cell>
          <cell r="G272">
            <v>0</v>
          </cell>
          <cell r="H272" t="str">
            <v>Production;Gas;Conventional</v>
          </cell>
          <cell r="I272" t="str">
            <v>Gas;Conventional;0;3</v>
          </cell>
          <cell r="J272" t="str">
            <v>AB</v>
          </cell>
          <cell r="K272" t="str">
            <v>Deep</v>
          </cell>
          <cell r="L272">
            <v>11</v>
          </cell>
          <cell r="M272">
            <v>225.16666699999999</v>
          </cell>
        </row>
        <row r="273">
          <cell r="A273">
            <v>3</v>
          </cell>
          <cell r="B273">
            <v>2004</v>
          </cell>
          <cell r="C273">
            <v>1</v>
          </cell>
          <cell r="D273" t="str">
            <v>Production</v>
          </cell>
          <cell r="E273" t="str">
            <v>Gas</v>
          </cell>
          <cell r="F273" t="str">
            <v>Conventional</v>
          </cell>
          <cell r="G273">
            <v>0</v>
          </cell>
          <cell r="H273" t="str">
            <v>Production;Gas;Conventional</v>
          </cell>
          <cell r="I273" t="str">
            <v>Gas;Conventional;0;3</v>
          </cell>
          <cell r="J273" t="str">
            <v>AB</v>
          </cell>
          <cell r="K273" t="str">
            <v>Medium</v>
          </cell>
          <cell r="L273">
            <v>668</v>
          </cell>
          <cell r="M273">
            <v>2447.8088544000029</v>
          </cell>
        </row>
        <row r="274">
          <cell r="A274">
            <v>3</v>
          </cell>
          <cell r="B274">
            <v>2004</v>
          </cell>
          <cell r="C274">
            <v>1</v>
          </cell>
          <cell r="D274" t="str">
            <v>Production</v>
          </cell>
          <cell r="E274" t="str">
            <v>Gas</v>
          </cell>
          <cell r="F274" t="str">
            <v>Conventional</v>
          </cell>
          <cell r="G274">
            <v>0</v>
          </cell>
          <cell r="H274" t="str">
            <v>Production;Gas;Conventional</v>
          </cell>
          <cell r="I274" t="str">
            <v>Gas;Conventional;0;3</v>
          </cell>
          <cell r="J274" t="str">
            <v>AB</v>
          </cell>
          <cell r="K274" t="str">
            <v>Shallow</v>
          </cell>
          <cell r="L274">
            <v>5406</v>
          </cell>
          <cell r="M274">
            <v>9963.0925096699866</v>
          </cell>
        </row>
        <row r="275">
          <cell r="A275">
            <v>3</v>
          </cell>
          <cell r="B275">
            <v>2004</v>
          </cell>
          <cell r="C275">
            <v>2</v>
          </cell>
          <cell r="D275" t="str">
            <v>Production</v>
          </cell>
          <cell r="E275" t="str">
            <v>Gas</v>
          </cell>
          <cell r="F275" t="str">
            <v>Conventional</v>
          </cell>
          <cell r="G275">
            <v>0</v>
          </cell>
          <cell r="H275" t="str">
            <v>Production;Gas;Conventional</v>
          </cell>
          <cell r="I275" t="str">
            <v>Gas;Conventional;0;3</v>
          </cell>
          <cell r="J275" t="str">
            <v>AB</v>
          </cell>
          <cell r="K275" t="str">
            <v>Medium</v>
          </cell>
          <cell r="L275">
            <v>2</v>
          </cell>
          <cell r="M275">
            <v>8</v>
          </cell>
        </row>
        <row r="276">
          <cell r="A276">
            <v>3</v>
          </cell>
          <cell r="B276">
            <v>2004</v>
          </cell>
          <cell r="C276">
            <v>2</v>
          </cell>
          <cell r="D276" t="str">
            <v>Production</v>
          </cell>
          <cell r="E276" t="str">
            <v>Gas</v>
          </cell>
          <cell r="F276" t="str">
            <v>Conventional</v>
          </cell>
          <cell r="G276">
            <v>0</v>
          </cell>
          <cell r="H276" t="str">
            <v>Production;Gas;Conventional</v>
          </cell>
          <cell r="I276" t="str">
            <v>Gas;Conventional;0;3</v>
          </cell>
          <cell r="J276" t="str">
            <v>AB</v>
          </cell>
          <cell r="K276" t="str">
            <v>Shallow</v>
          </cell>
          <cell r="L276">
            <v>28</v>
          </cell>
          <cell r="M276">
            <v>20.8333333</v>
          </cell>
        </row>
        <row r="277">
          <cell r="A277">
            <v>3</v>
          </cell>
          <cell r="B277">
            <v>2005</v>
          </cell>
          <cell r="C277">
            <v>1</v>
          </cell>
          <cell r="D277" t="str">
            <v>Production</v>
          </cell>
          <cell r="E277" t="str">
            <v>Gas</v>
          </cell>
          <cell r="F277" t="str">
            <v>Conventional</v>
          </cell>
          <cell r="G277">
            <v>0</v>
          </cell>
          <cell r="H277" t="str">
            <v>Production;Gas;Conventional</v>
          </cell>
          <cell r="I277" t="str">
            <v>Gas;Conventional;0;3</v>
          </cell>
          <cell r="J277" t="str">
            <v>AB</v>
          </cell>
          <cell r="K277" t="str">
            <v>Deep</v>
          </cell>
          <cell r="L277">
            <v>12</v>
          </cell>
          <cell r="M277">
            <v>28</v>
          </cell>
        </row>
        <row r="278">
          <cell r="A278">
            <v>3</v>
          </cell>
          <cell r="B278">
            <v>2005</v>
          </cell>
          <cell r="C278">
            <v>1</v>
          </cell>
          <cell r="D278" t="str">
            <v>Production</v>
          </cell>
          <cell r="E278" t="str">
            <v>Gas</v>
          </cell>
          <cell r="F278" t="str">
            <v>Conventional</v>
          </cell>
          <cell r="G278">
            <v>0</v>
          </cell>
          <cell r="H278" t="str">
            <v>Production;Gas;Conventional</v>
          </cell>
          <cell r="I278" t="str">
            <v>Gas;Conventional;0;3</v>
          </cell>
          <cell r="J278" t="str">
            <v>AB</v>
          </cell>
          <cell r="K278" t="str">
            <v>Medium</v>
          </cell>
          <cell r="L278">
            <v>358</v>
          </cell>
          <cell r="M278">
            <v>1796.9055364000001</v>
          </cell>
        </row>
        <row r="279">
          <cell r="A279">
            <v>3</v>
          </cell>
          <cell r="B279">
            <v>2005</v>
          </cell>
          <cell r="C279">
            <v>1</v>
          </cell>
          <cell r="D279" t="str">
            <v>Production</v>
          </cell>
          <cell r="E279" t="str">
            <v>Gas</v>
          </cell>
          <cell r="F279" t="str">
            <v>Conventional</v>
          </cell>
          <cell r="G279">
            <v>0</v>
          </cell>
          <cell r="H279" t="str">
            <v>Production;Gas;Conventional</v>
          </cell>
          <cell r="I279" t="str">
            <v>Gas;Conventional;0;3</v>
          </cell>
          <cell r="J279" t="str">
            <v>AB</v>
          </cell>
          <cell r="K279" t="str">
            <v>Shallow</v>
          </cell>
          <cell r="L279">
            <v>4551</v>
          </cell>
          <cell r="M279">
            <v>10392.806685359985</v>
          </cell>
        </row>
        <row r="280">
          <cell r="A280">
            <v>3</v>
          </cell>
          <cell r="B280">
            <v>2005</v>
          </cell>
          <cell r="C280">
            <v>2</v>
          </cell>
          <cell r="D280" t="str">
            <v>Production</v>
          </cell>
          <cell r="E280" t="str">
            <v>Gas</v>
          </cell>
          <cell r="F280" t="str">
            <v>Conventional</v>
          </cell>
          <cell r="G280">
            <v>0</v>
          </cell>
          <cell r="H280" t="str">
            <v>Production;Gas;Conventional</v>
          </cell>
          <cell r="I280" t="str">
            <v>Gas;Conventional;0;3</v>
          </cell>
          <cell r="J280" t="str">
            <v>AB</v>
          </cell>
          <cell r="K280" t="str">
            <v>Medium</v>
          </cell>
          <cell r="L280">
            <v>4</v>
          </cell>
          <cell r="M280">
            <v>39</v>
          </cell>
        </row>
        <row r="281">
          <cell r="A281">
            <v>3</v>
          </cell>
          <cell r="B281">
            <v>2005</v>
          </cell>
          <cell r="C281">
            <v>2</v>
          </cell>
          <cell r="D281" t="str">
            <v>Production</v>
          </cell>
          <cell r="E281" t="str">
            <v>Gas</v>
          </cell>
          <cell r="F281" t="str">
            <v>Conventional</v>
          </cell>
          <cell r="G281">
            <v>0</v>
          </cell>
          <cell r="H281" t="str">
            <v>Production;Gas;Conventional</v>
          </cell>
          <cell r="I281" t="str">
            <v>Gas;Conventional;0;3</v>
          </cell>
          <cell r="J281" t="str">
            <v>AB</v>
          </cell>
          <cell r="K281" t="str">
            <v>Shallow</v>
          </cell>
          <cell r="L281">
            <v>22</v>
          </cell>
          <cell r="M281">
            <v>20.5</v>
          </cell>
        </row>
        <row r="282">
          <cell r="A282">
            <v>3</v>
          </cell>
          <cell r="B282">
            <v>2006</v>
          </cell>
          <cell r="C282">
            <v>1</v>
          </cell>
          <cell r="D282" t="str">
            <v>Production</v>
          </cell>
          <cell r="E282" t="str">
            <v>Gas</v>
          </cell>
          <cell r="F282" t="str">
            <v>Conventional</v>
          </cell>
          <cell r="G282">
            <v>0</v>
          </cell>
          <cell r="H282" t="str">
            <v>Production;Gas;Conventional</v>
          </cell>
          <cell r="I282" t="str">
            <v>Gas;Conventional;0;3</v>
          </cell>
          <cell r="J282" t="str">
            <v>AB</v>
          </cell>
          <cell r="K282" t="str">
            <v>Deep</v>
          </cell>
          <cell r="L282">
            <v>9</v>
          </cell>
          <cell r="M282">
            <v>93.95</v>
          </cell>
        </row>
        <row r="283">
          <cell r="A283">
            <v>3</v>
          </cell>
          <cell r="B283">
            <v>2006</v>
          </cell>
          <cell r="C283">
            <v>1</v>
          </cell>
          <cell r="D283" t="str">
            <v>Production</v>
          </cell>
          <cell r="E283" t="str">
            <v>Gas</v>
          </cell>
          <cell r="F283" t="str">
            <v>Conventional</v>
          </cell>
          <cell r="G283">
            <v>0</v>
          </cell>
          <cell r="H283" t="str">
            <v>Production;Gas;Conventional</v>
          </cell>
          <cell r="I283" t="str">
            <v>Gas;Conventional;0;3</v>
          </cell>
          <cell r="J283" t="str">
            <v>AB</v>
          </cell>
          <cell r="K283" t="str">
            <v>Medium</v>
          </cell>
          <cell r="L283">
            <v>266</v>
          </cell>
          <cell r="M283">
            <v>1293.3928552000007</v>
          </cell>
        </row>
        <row r="284">
          <cell r="A284">
            <v>3</v>
          </cell>
          <cell r="B284">
            <v>2006</v>
          </cell>
          <cell r="C284">
            <v>1</v>
          </cell>
          <cell r="D284" t="str">
            <v>Production</v>
          </cell>
          <cell r="E284" t="str">
            <v>Gas</v>
          </cell>
          <cell r="F284" t="str">
            <v>Conventional</v>
          </cell>
          <cell r="G284">
            <v>0</v>
          </cell>
          <cell r="H284" t="str">
            <v>Production;Gas;Conventional</v>
          </cell>
          <cell r="I284" t="str">
            <v>Gas;Conventional;0;3</v>
          </cell>
          <cell r="J284" t="str">
            <v>AB</v>
          </cell>
          <cell r="K284" t="str">
            <v>Shallow</v>
          </cell>
          <cell r="L284">
            <v>3870</v>
          </cell>
          <cell r="M284">
            <v>8073.5456550399995</v>
          </cell>
        </row>
        <row r="285">
          <cell r="A285">
            <v>3</v>
          </cell>
          <cell r="B285">
            <v>2006</v>
          </cell>
          <cell r="C285">
            <v>2</v>
          </cell>
          <cell r="D285" t="str">
            <v>Production</v>
          </cell>
          <cell r="E285" t="str">
            <v>Gas</v>
          </cell>
          <cell r="F285" t="str">
            <v>Conventional</v>
          </cell>
          <cell r="G285">
            <v>0</v>
          </cell>
          <cell r="H285" t="str">
            <v>Production;Gas;Conventional</v>
          </cell>
          <cell r="I285" t="str">
            <v>Gas;Conventional;0;3</v>
          </cell>
          <cell r="J285" t="str">
            <v>AB</v>
          </cell>
          <cell r="K285" t="str">
            <v>Deep</v>
          </cell>
          <cell r="L285">
            <v>1</v>
          </cell>
          <cell r="M285">
            <v>8</v>
          </cell>
        </row>
        <row r="286">
          <cell r="A286">
            <v>3</v>
          </cell>
          <cell r="B286">
            <v>2006</v>
          </cell>
          <cell r="C286">
            <v>2</v>
          </cell>
          <cell r="D286" t="str">
            <v>Production</v>
          </cell>
          <cell r="E286" t="str">
            <v>Gas</v>
          </cell>
          <cell r="F286" t="str">
            <v>Conventional</v>
          </cell>
          <cell r="G286">
            <v>0</v>
          </cell>
          <cell r="H286" t="str">
            <v>Production;Gas;Conventional</v>
          </cell>
          <cell r="I286" t="str">
            <v>Gas;Conventional;0;3</v>
          </cell>
          <cell r="J286" t="str">
            <v>AB</v>
          </cell>
          <cell r="K286" t="str">
            <v>Medium</v>
          </cell>
          <cell r="L286">
            <v>2</v>
          </cell>
          <cell r="M286">
            <v>12</v>
          </cell>
        </row>
        <row r="287">
          <cell r="A287">
            <v>3</v>
          </cell>
          <cell r="B287">
            <v>2006</v>
          </cell>
          <cell r="C287">
            <v>2</v>
          </cell>
          <cell r="D287" t="str">
            <v>Production</v>
          </cell>
          <cell r="E287" t="str">
            <v>Gas</v>
          </cell>
          <cell r="F287" t="str">
            <v>Conventional</v>
          </cell>
          <cell r="G287">
            <v>0</v>
          </cell>
          <cell r="H287" t="str">
            <v>Production;Gas;Conventional</v>
          </cell>
          <cell r="I287" t="str">
            <v>Gas;Conventional;0;3</v>
          </cell>
          <cell r="J287" t="str">
            <v>AB</v>
          </cell>
          <cell r="K287" t="str">
            <v>Shallow</v>
          </cell>
          <cell r="L287">
            <v>1</v>
          </cell>
          <cell r="M287">
            <v>1</v>
          </cell>
        </row>
        <row r="288">
          <cell r="A288">
            <v>3</v>
          </cell>
          <cell r="B288">
            <v>2007</v>
          </cell>
          <cell r="C288">
            <v>1</v>
          </cell>
          <cell r="D288" t="str">
            <v>Production</v>
          </cell>
          <cell r="E288" t="str">
            <v>Gas</v>
          </cell>
          <cell r="F288" t="str">
            <v>Conventional</v>
          </cell>
          <cell r="G288">
            <v>0</v>
          </cell>
          <cell r="H288" t="str">
            <v>Production;Gas;Conventional</v>
          </cell>
          <cell r="I288" t="str">
            <v>Gas;Conventional;0;3</v>
          </cell>
          <cell r="J288" t="str">
            <v>AB</v>
          </cell>
          <cell r="K288" t="str">
            <v>Medium</v>
          </cell>
          <cell r="L288">
            <v>10</v>
          </cell>
          <cell r="M288">
            <v>38</v>
          </cell>
        </row>
        <row r="289">
          <cell r="A289">
            <v>3</v>
          </cell>
          <cell r="B289">
            <v>2007</v>
          </cell>
          <cell r="C289">
            <v>1</v>
          </cell>
          <cell r="D289" t="str">
            <v>Production</v>
          </cell>
          <cell r="E289" t="str">
            <v>Gas</v>
          </cell>
          <cell r="F289" t="str">
            <v>Conventional</v>
          </cell>
          <cell r="G289">
            <v>0</v>
          </cell>
          <cell r="H289" t="str">
            <v>Production;Gas;Conventional</v>
          </cell>
          <cell r="I289" t="str">
            <v>Gas;Conventional;0;3</v>
          </cell>
          <cell r="J289" t="str">
            <v>AB</v>
          </cell>
          <cell r="K289" t="str">
            <v>Shallow</v>
          </cell>
          <cell r="L289">
            <v>344</v>
          </cell>
          <cell r="M289">
            <v>777.99623200000008</v>
          </cell>
        </row>
        <row r="290">
          <cell r="A290">
            <v>4</v>
          </cell>
          <cell r="B290">
            <v>2000</v>
          </cell>
          <cell r="C290">
            <v>1</v>
          </cell>
          <cell r="D290" t="str">
            <v>Production</v>
          </cell>
          <cell r="E290" t="str">
            <v>Gas</v>
          </cell>
          <cell r="F290" t="str">
            <v>Conventional</v>
          </cell>
          <cell r="G290">
            <v>0</v>
          </cell>
          <cell r="H290" t="str">
            <v>Production;Gas;Conventional</v>
          </cell>
          <cell r="I290" t="str">
            <v>Gas;Conventional;0;4</v>
          </cell>
          <cell r="J290" t="str">
            <v>AB</v>
          </cell>
          <cell r="K290" t="str">
            <v>Deep</v>
          </cell>
          <cell r="L290">
            <v>1</v>
          </cell>
          <cell r="M290">
            <v>2</v>
          </cell>
        </row>
        <row r="291">
          <cell r="A291">
            <v>4</v>
          </cell>
          <cell r="B291">
            <v>2000</v>
          </cell>
          <cell r="C291">
            <v>1</v>
          </cell>
          <cell r="D291" t="str">
            <v>Production</v>
          </cell>
          <cell r="E291" t="str">
            <v>Gas</v>
          </cell>
          <cell r="F291" t="str">
            <v>Conventional</v>
          </cell>
          <cell r="G291">
            <v>0</v>
          </cell>
          <cell r="H291" t="str">
            <v>Production;Gas;Conventional</v>
          </cell>
          <cell r="I291" t="str">
            <v>Gas;Conventional;0;4</v>
          </cell>
          <cell r="J291" t="str">
            <v>AB</v>
          </cell>
          <cell r="K291" t="str">
            <v>Medium</v>
          </cell>
          <cell r="L291">
            <v>21</v>
          </cell>
          <cell r="M291">
            <v>96.380952699999995</v>
          </cell>
        </row>
        <row r="292">
          <cell r="A292">
            <v>4</v>
          </cell>
          <cell r="B292">
            <v>2000</v>
          </cell>
          <cell r="C292">
            <v>1</v>
          </cell>
          <cell r="D292" t="str">
            <v>Production</v>
          </cell>
          <cell r="E292" t="str">
            <v>Gas</v>
          </cell>
          <cell r="F292" t="str">
            <v>Conventional</v>
          </cell>
          <cell r="G292">
            <v>0</v>
          </cell>
          <cell r="H292" t="str">
            <v>Production;Gas;Conventional</v>
          </cell>
          <cell r="I292" t="str">
            <v>Gas;Conventional;0;4</v>
          </cell>
          <cell r="J292" t="str">
            <v>AB</v>
          </cell>
          <cell r="K292" t="str">
            <v>Shallow</v>
          </cell>
          <cell r="L292">
            <v>228</v>
          </cell>
          <cell r="M292">
            <v>704.58333759999994</v>
          </cell>
        </row>
        <row r="293">
          <cell r="A293">
            <v>4</v>
          </cell>
          <cell r="B293">
            <v>2001</v>
          </cell>
          <cell r="C293">
            <v>1</v>
          </cell>
          <cell r="D293" t="str">
            <v>Production</v>
          </cell>
          <cell r="E293" t="str">
            <v>Gas</v>
          </cell>
          <cell r="F293" t="str">
            <v>Conventional</v>
          </cell>
          <cell r="G293">
            <v>0</v>
          </cell>
          <cell r="H293" t="str">
            <v>Production;Gas;Conventional</v>
          </cell>
          <cell r="I293" t="str">
            <v>Gas;Conventional;0;4</v>
          </cell>
          <cell r="J293" t="str">
            <v>AB</v>
          </cell>
          <cell r="K293" t="str">
            <v>Medium</v>
          </cell>
          <cell r="L293">
            <v>31</v>
          </cell>
          <cell r="M293">
            <v>112.969048</v>
          </cell>
        </row>
        <row r="294">
          <cell r="A294">
            <v>4</v>
          </cell>
          <cell r="B294">
            <v>2001</v>
          </cell>
          <cell r="C294">
            <v>1</v>
          </cell>
          <cell r="D294" t="str">
            <v>Production</v>
          </cell>
          <cell r="E294" t="str">
            <v>Gas</v>
          </cell>
          <cell r="F294" t="str">
            <v>Conventional</v>
          </cell>
          <cell r="G294">
            <v>0</v>
          </cell>
          <cell r="H294" t="str">
            <v>Production;Gas;Conventional</v>
          </cell>
          <cell r="I294" t="str">
            <v>Gas;Conventional;0;4</v>
          </cell>
          <cell r="J294" t="str">
            <v>AB</v>
          </cell>
          <cell r="K294" t="str">
            <v>Shallow</v>
          </cell>
          <cell r="L294">
            <v>267</v>
          </cell>
          <cell r="M294">
            <v>926.58333330000005</v>
          </cell>
        </row>
        <row r="295">
          <cell r="A295">
            <v>4</v>
          </cell>
          <cell r="B295">
            <v>2002</v>
          </cell>
          <cell r="C295">
            <v>1</v>
          </cell>
          <cell r="D295" t="str">
            <v>Production</v>
          </cell>
          <cell r="E295" t="str">
            <v>Gas</v>
          </cell>
          <cell r="F295" t="str">
            <v>Conventional</v>
          </cell>
          <cell r="G295">
            <v>0</v>
          </cell>
          <cell r="H295" t="str">
            <v>Production;Gas;Conventional</v>
          </cell>
          <cell r="I295" t="str">
            <v>Gas;Conventional;0;4</v>
          </cell>
          <cell r="J295" t="str">
            <v>AB</v>
          </cell>
          <cell r="K295" t="str">
            <v>Medium</v>
          </cell>
          <cell r="L295">
            <v>14</v>
          </cell>
          <cell r="M295">
            <v>74.733329000000012</v>
          </cell>
        </row>
        <row r="296">
          <cell r="A296">
            <v>4</v>
          </cell>
          <cell r="B296">
            <v>2002</v>
          </cell>
          <cell r="C296">
            <v>1</v>
          </cell>
          <cell r="D296" t="str">
            <v>Production</v>
          </cell>
          <cell r="E296" t="str">
            <v>Gas</v>
          </cell>
          <cell r="F296" t="str">
            <v>Conventional</v>
          </cell>
          <cell r="G296">
            <v>0</v>
          </cell>
          <cell r="H296" t="str">
            <v>Production;Gas;Conventional</v>
          </cell>
          <cell r="I296" t="str">
            <v>Gas;Conventional;0;4</v>
          </cell>
          <cell r="J296" t="str">
            <v>AB</v>
          </cell>
          <cell r="K296" t="str">
            <v>Shallow</v>
          </cell>
          <cell r="L296">
            <v>374</v>
          </cell>
          <cell r="M296">
            <v>957.1895371999999</v>
          </cell>
        </row>
        <row r="297">
          <cell r="A297">
            <v>4</v>
          </cell>
          <cell r="B297">
            <v>2003</v>
          </cell>
          <cell r="C297">
            <v>1</v>
          </cell>
          <cell r="D297" t="str">
            <v>Production</v>
          </cell>
          <cell r="E297" t="str">
            <v>Gas</v>
          </cell>
          <cell r="F297" t="str">
            <v>Conventional</v>
          </cell>
          <cell r="G297">
            <v>0</v>
          </cell>
          <cell r="H297" t="str">
            <v>Production;Gas;Conventional</v>
          </cell>
          <cell r="I297" t="str">
            <v>Gas;Conventional;0;4</v>
          </cell>
          <cell r="J297" t="str">
            <v>AB</v>
          </cell>
          <cell r="K297" t="str">
            <v>Medium</v>
          </cell>
          <cell r="L297">
            <v>34</v>
          </cell>
          <cell r="M297">
            <v>110.1666663</v>
          </cell>
        </row>
        <row r="298">
          <cell r="A298">
            <v>4</v>
          </cell>
          <cell r="B298">
            <v>2003</v>
          </cell>
          <cell r="C298">
            <v>1</v>
          </cell>
          <cell r="D298" t="str">
            <v>Production</v>
          </cell>
          <cell r="E298" t="str">
            <v>Gas</v>
          </cell>
          <cell r="F298" t="str">
            <v>Conventional</v>
          </cell>
          <cell r="G298">
            <v>0</v>
          </cell>
          <cell r="H298" t="str">
            <v>Production;Gas;Conventional</v>
          </cell>
          <cell r="I298" t="str">
            <v>Gas;Conventional;0;4</v>
          </cell>
          <cell r="J298" t="str">
            <v>AB</v>
          </cell>
          <cell r="K298" t="str">
            <v>Shallow</v>
          </cell>
          <cell r="L298">
            <v>550</v>
          </cell>
          <cell r="M298">
            <v>1650.5509560500002</v>
          </cell>
        </row>
        <row r="299">
          <cell r="A299">
            <v>4</v>
          </cell>
          <cell r="B299">
            <v>2003</v>
          </cell>
          <cell r="C299">
            <v>2</v>
          </cell>
          <cell r="D299" t="str">
            <v>Production</v>
          </cell>
          <cell r="E299" t="str">
            <v>Gas</v>
          </cell>
          <cell r="F299" t="str">
            <v>Conventional</v>
          </cell>
          <cell r="G299">
            <v>0</v>
          </cell>
          <cell r="H299" t="str">
            <v>Production;Gas;Conventional</v>
          </cell>
          <cell r="I299" t="str">
            <v>Gas;Conventional;0;4</v>
          </cell>
          <cell r="J299" t="str">
            <v>AB</v>
          </cell>
          <cell r="K299" t="str">
            <v>Shallow</v>
          </cell>
          <cell r="L299">
            <v>1</v>
          </cell>
          <cell r="M299">
            <v>5</v>
          </cell>
        </row>
        <row r="300">
          <cell r="A300">
            <v>4</v>
          </cell>
          <cell r="B300">
            <v>2004</v>
          </cell>
          <cell r="C300">
            <v>1</v>
          </cell>
          <cell r="D300" t="str">
            <v>Production</v>
          </cell>
          <cell r="E300" t="str">
            <v>Gas</v>
          </cell>
          <cell r="F300" t="str">
            <v>Conventional</v>
          </cell>
          <cell r="G300">
            <v>0</v>
          </cell>
          <cell r="H300" t="str">
            <v>Production;Gas;Conventional</v>
          </cell>
          <cell r="I300" t="str">
            <v>Gas;Conventional;0;4</v>
          </cell>
          <cell r="J300" t="str">
            <v>AB</v>
          </cell>
          <cell r="K300" t="str">
            <v>Deep</v>
          </cell>
          <cell r="L300">
            <v>30</v>
          </cell>
          <cell r="M300">
            <v>83</v>
          </cell>
        </row>
        <row r="301">
          <cell r="A301">
            <v>4</v>
          </cell>
          <cell r="B301">
            <v>2004</v>
          </cell>
          <cell r="C301">
            <v>1</v>
          </cell>
          <cell r="D301" t="str">
            <v>Production</v>
          </cell>
          <cell r="E301" t="str">
            <v>Gas</v>
          </cell>
          <cell r="F301" t="str">
            <v>Conventional</v>
          </cell>
          <cell r="G301">
            <v>0</v>
          </cell>
          <cell r="H301" t="str">
            <v>Production;Gas;Conventional</v>
          </cell>
          <cell r="I301" t="str">
            <v>Gas;Conventional;0;4</v>
          </cell>
          <cell r="J301" t="str">
            <v>AB</v>
          </cell>
          <cell r="K301" t="str">
            <v>Medium</v>
          </cell>
          <cell r="L301">
            <v>29</v>
          </cell>
          <cell r="M301">
            <v>94</v>
          </cell>
        </row>
        <row r="302">
          <cell r="A302">
            <v>4</v>
          </cell>
          <cell r="B302">
            <v>2004</v>
          </cell>
          <cell r="C302">
            <v>1</v>
          </cell>
          <cell r="D302" t="str">
            <v>Production</v>
          </cell>
          <cell r="E302" t="str">
            <v>Gas</v>
          </cell>
          <cell r="F302" t="str">
            <v>Conventional</v>
          </cell>
          <cell r="G302">
            <v>0</v>
          </cell>
          <cell r="H302" t="str">
            <v>Production;Gas;Conventional</v>
          </cell>
          <cell r="I302" t="str">
            <v>Gas;Conventional;0;4</v>
          </cell>
          <cell r="J302" t="str">
            <v>AB</v>
          </cell>
          <cell r="K302" t="str">
            <v>Shallow</v>
          </cell>
          <cell r="L302">
            <v>544</v>
          </cell>
          <cell r="M302">
            <v>1698.3065373000002</v>
          </cell>
        </row>
        <row r="303">
          <cell r="A303">
            <v>4</v>
          </cell>
          <cell r="B303">
            <v>2004</v>
          </cell>
          <cell r="C303">
            <v>2</v>
          </cell>
          <cell r="D303" t="str">
            <v>Production</v>
          </cell>
          <cell r="E303" t="str">
            <v>Gas</v>
          </cell>
          <cell r="F303" t="str">
            <v>Conventional</v>
          </cell>
          <cell r="G303">
            <v>0</v>
          </cell>
          <cell r="H303" t="str">
            <v>Production;Gas;Conventional</v>
          </cell>
          <cell r="I303" t="str">
            <v>Gas;Conventional;0;4</v>
          </cell>
          <cell r="J303" t="str">
            <v>AB</v>
          </cell>
          <cell r="K303" t="str">
            <v>Shallow</v>
          </cell>
          <cell r="L303">
            <v>2</v>
          </cell>
          <cell r="M303">
            <v>4</v>
          </cell>
        </row>
        <row r="304">
          <cell r="A304">
            <v>4</v>
          </cell>
          <cell r="B304">
            <v>2005</v>
          </cell>
          <cell r="C304">
            <v>1</v>
          </cell>
          <cell r="D304" t="str">
            <v>Production</v>
          </cell>
          <cell r="E304" t="str">
            <v>Gas</v>
          </cell>
          <cell r="F304" t="str">
            <v>Conventional</v>
          </cell>
          <cell r="G304">
            <v>0</v>
          </cell>
          <cell r="H304" t="str">
            <v>Production;Gas;Conventional</v>
          </cell>
          <cell r="I304" t="str">
            <v>Gas;Conventional;0;4</v>
          </cell>
          <cell r="J304" t="str">
            <v>AB</v>
          </cell>
          <cell r="K304" t="str">
            <v>Deep</v>
          </cell>
          <cell r="L304">
            <v>10</v>
          </cell>
          <cell r="M304">
            <v>20.5</v>
          </cell>
        </row>
        <row r="305">
          <cell r="A305">
            <v>4</v>
          </cell>
          <cell r="B305">
            <v>2005</v>
          </cell>
          <cell r="C305">
            <v>1</v>
          </cell>
          <cell r="D305" t="str">
            <v>Production</v>
          </cell>
          <cell r="E305" t="str">
            <v>Gas</v>
          </cell>
          <cell r="F305" t="str">
            <v>Conventional</v>
          </cell>
          <cell r="G305">
            <v>0</v>
          </cell>
          <cell r="H305" t="str">
            <v>Production;Gas;Conventional</v>
          </cell>
          <cell r="I305" t="str">
            <v>Gas;Conventional;0;4</v>
          </cell>
          <cell r="J305" t="str">
            <v>AB</v>
          </cell>
          <cell r="K305" t="str">
            <v>Medium</v>
          </cell>
          <cell r="L305">
            <v>22</v>
          </cell>
          <cell r="M305">
            <v>64.5</v>
          </cell>
        </row>
        <row r="306">
          <cell r="A306">
            <v>4</v>
          </cell>
          <cell r="B306">
            <v>2005</v>
          </cell>
          <cell r="C306">
            <v>1</v>
          </cell>
          <cell r="D306" t="str">
            <v>Production</v>
          </cell>
          <cell r="E306" t="str">
            <v>Gas</v>
          </cell>
          <cell r="F306" t="str">
            <v>Conventional</v>
          </cell>
          <cell r="G306">
            <v>0</v>
          </cell>
          <cell r="H306" t="str">
            <v>Production;Gas;Conventional</v>
          </cell>
          <cell r="I306" t="str">
            <v>Gas;Conventional;0;4</v>
          </cell>
          <cell r="J306" t="str">
            <v>AB</v>
          </cell>
          <cell r="K306" t="str">
            <v>Shallow</v>
          </cell>
          <cell r="L306">
            <v>512</v>
          </cell>
          <cell r="M306">
            <v>1700.5342890000013</v>
          </cell>
        </row>
        <row r="307">
          <cell r="A307">
            <v>4</v>
          </cell>
          <cell r="B307">
            <v>2006</v>
          </cell>
          <cell r="C307">
            <v>1</v>
          </cell>
          <cell r="D307" t="str">
            <v>Production</v>
          </cell>
          <cell r="E307" t="str">
            <v>Gas</v>
          </cell>
          <cell r="F307" t="str">
            <v>Conventional</v>
          </cell>
          <cell r="G307">
            <v>0</v>
          </cell>
          <cell r="H307" t="str">
            <v>Production;Gas;Conventional</v>
          </cell>
          <cell r="I307" t="str">
            <v>Gas;Conventional;0;4</v>
          </cell>
          <cell r="J307" t="str">
            <v>AB</v>
          </cell>
          <cell r="K307" t="str">
            <v>Deep</v>
          </cell>
          <cell r="L307">
            <v>2</v>
          </cell>
          <cell r="M307">
            <v>2.0833333000000001</v>
          </cell>
        </row>
        <row r="308">
          <cell r="A308">
            <v>4</v>
          </cell>
          <cell r="B308">
            <v>2006</v>
          </cell>
          <cell r="C308">
            <v>1</v>
          </cell>
          <cell r="D308" t="str">
            <v>Production</v>
          </cell>
          <cell r="E308" t="str">
            <v>Gas</v>
          </cell>
          <cell r="F308" t="str">
            <v>Conventional</v>
          </cell>
          <cell r="G308">
            <v>0</v>
          </cell>
          <cell r="H308" t="str">
            <v>Production;Gas;Conventional</v>
          </cell>
          <cell r="I308" t="str">
            <v>Gas;Conventional;0;4</v>
          </cell>
          <cell r="J308" t="str">
            <v>AB</v>
          </cell>
          <cell r="K308" t="str">
            <v>Medium</v>
          </cell>
          <cell r="L308">
            <v>29</v>
          </cell>
          <cell r="M308">
            <v>123.333337</v>
          </cell>
        </row>
        <row r="309">
          <cell r="A309">
            <v>4</v>
          </cell>
          <cell r="B309">
            <v>2006</v>
          </cell>
          <cell r="C309">
            <v>1</v>
          </cell>
          <cell r="D309" t="str">
            <v>Production</v>
          </cell>
          <cell r="E309" t="str">
            <v>Gas</v>
          </cell>
          <cell r="F309" t="str">
            <v>Conventional</v>
          </cell>
          <cell r="G309">
            <v>0</v>
          </cell>
          <cell r="H309" t="str">
            <v>Production;Gas;Conventional</v>
          </cell>
          <cell r="I309" t="str">
            <v>Gas;Conventional;0;4</v>
          </cell>
          <cell r="J309" t="str">
            <v>AB</v>
          </cell>
          <cell r="K309" t="str">
            <v>Shallow</v>
          </cell>
          <cell r="L309">
            <v>349</v>
          </cell>
          <cell r="M309">
            <v>1043.8943663800001</v>
          </cell>
        </row>
        <row r="310">
          <cell r="A310">
            <v>4</v>
          </cell>
          <cell r="B310">
            <v>2006</v>
          </cell>
          <cell r="C310">
            <v>2</v>
          </cell>
          <cell r="D310" t="str">
            <v>Production</v>
          </cell>
          <cell r="E310" t="str">
            <v>Gas</v>
          </cell>
          <cell r="F310" t="str">
            <v>Conventional</v>
          </cell>
          <cell r="G310">
            <v>0</v>
          </cell>
          <cell r="H310" t="str">
            <v>Production;Gas;Conventional</v>
          </cell>
          <cell r="I310" t="str">
            <v>Gas;Conventional;0;4</v>
          </cell>
          <cell r="J310" t="str">
            <v>AB</v>
          </cell>
          <cell r="K310" t="str">
            <v>Shallow</v>
          </cell>
          <cell r="L310">
            <v>2</v>
          </cell>
          <cell r="M310">
            <v>9</v>
          </cell>
        </row>
        <row r="311">
          <cell r="A311">
            <v>4</v>
          </cell>
          <cell r="B311">
            <v>2007</v>
          </cell>
          <cell r="C311">
            <v>1</v>
          </cell>
          <cell r="D311" t="str">
            <v>Production</v>
          </cell>
          <cell r="E311" t="str">
            <v>Gas</v>
          </cell>
          <cell r="F311" t="str">
            <v>Conventional</v>
          </cell>
          <cell r="G311">
            <v>0</v>
          </cell>
          <cell r="H311" t="str">
            <v>Production;Gas;Conventional</v>
          </cell>
          <cell r="I311" t="str">
            <v>Gas;Conventional;0;4</v>
          </cell>
          <cell r="J311" t="str">
            <v>AB</v>
          </cell>
          <cell r="K311" t="str">
            <v>Medium</v>
          </cell>
          <cell r="L311">
            <v>1</v>
          </cell>
          <cell r="M311">
            <v>3</v>
          </cell>
        </row>
        <row r="312">
          <cell r="A312">
            <v>4</v>
          </cell>
          <cell r="B312">
            <v>2007</v>
          </cell>
          <cell r="C312">
            <v>1</v>
          </cell>
          <cell r="D312" t="str">
            <v>Production</v>
          </cell>
          <cell r="E312" t="str">
            <v>Gas</v>
          </cell>
          <cell r="F312" t="str">
            <v>Conventional</v>
          </cell>
          <cell r="G312">
            <v>0</v>
          </cell>
          <cell r="H312" t="str">
            <v>Production;Gas;Conventional</v>
          </cell>
          <cell r="I312" t="str">
            <v>Gas;Conventional;0;4</v>
          </cell>
          <cell r="J312" t="str">
            <v>AB</v>
          </cell>
          <cell r="K312" t="str">
            <v>Shallow</v>
          </cell>
          <cell r="L312">
            <v>8</v>
          </cell>
          <cell r="M312">
            <v>28</v>
          </cell>
        </row>
        <row r="313">
          <cell r="A313">
            <v>5</v>
          </cell>
          <cell r="B313">
            <v>2000</v>
          </cell>
          <cell r="C313">
            <v>1</v>
          </cell>
          <cell r="D313" t="str">
            <v>Production</v>
          </cell>
          <cell r="E313" t="str">
            <v>Gas</v>
          </cell>
          <cell r="F313" t="str">
            <v>Conventional</v>
          </cell>
          <cell r="G313">
            <v>0</v>
          </cell>
          <cell r="H313" t="str">
            <v>Production;Gas;Conventional</v>
          </cell>
          <cell r="I313" t="str">
            <v>Gas;Conventional;0;5</v>
          </cell>
          <cell r="J313" t="str">
            <v>AB</v>
          </cell>
          <cell r="K313" t="str">
            <v>Deep</v>
          </cell>
          <cell r="L313">
            <v>18</v>
          </cell>
          <cell r="M313">
            <v>320.5</v>
          </cell>
        </row>
        <row r="314">
          <cell r="A314">
            <v>5</v>
          </cell>
          <cell r="B314">
            <v>2000</v>
          </cell>
          <cell r="C314">
            <v>1</v>
          </cell>
          <cell r="D314" t="str">
            <v>Production</v>
          </cell>
          <cell r="E314" t="str">
            <v>Gas</v>
          </cell>
          <cell r="F314" t="str">
            <v>Conventional</v>
          </cell>
          <cell r="G314">
            <v>0</v>
          </cell>
          <cell r="H314" t="str">
            <v>Production;Gas;Conventional</v>
          </cell>
          <cell r="I314" t="str">
            <v>Gas;Conventional;0;5</v>
          </cell>
          <cell r="J314" t="str">
            <v>AB</v>
          </cell>
          <cell r="K314" t="str">
            <v>Medium</v>
          </cell>
          <cell r="L314">
            <v>262</v>
          </cell>
          <cell r="M314">
            <v>1867.25</v>
          </cell>
        </row>
        <row r="315">
          <cell r="A315">
            <v>5</v>
          </cell>
          <cell r="B315">
            <v>2000</v>
          </cell>
          <cell r="C315">
            <v>1</v>
          </cell>
          <cell r="D315" t="str">
            <v>Production</v>
          </cell>
          <cell r="E315" t="str">
            <v>Gas</v>
          </cell>
          <cell r="F315" t="str">
            <v>Conventional</v>
          </cell>
          <cell r="G315">
            <v>0</v>
          </cell>
          <cell r="H315" t="str">
            <v>Production;Gas;Conventional</v>
          </cell>
          <cell r="I315" t="str">
            <v>Gas;Conventional;0;5</v>
          </cell>
          <cell r="J315" t="str">
            <v>AB</v>
          </cell>
          <cell r="K315" t="str">
            <v>Shallow</v>
          </cell>
          <cell r="L315">
            <v>290</v>
          </cell>
          <cell r="M315">
            <v>1004.7316146999997</v>
          </cell>
        </row>
        <row r="316">
          <cell r="A316">
            <v>5</v>
          </cell>
          <cell r="B316">
            <v>2000</v>
          </cell>
          <cell r="C316">
            <v>2</v>
          </cell>
          <cell r="D316" t="str">
            <v>Production</v>
          </cell>
          <cell r="E316" t="str">
            <v>Gas</v>
          </cell>
          <cell r="F316" t="str">
            <v>Conventional</v>
          </cell>
          <cell r="G316">
            <v>0</v>
          </cell>
          <cell r="H316" t="str">
            <v>Production;Gas;Conventional</v>
          </cell>
          <cell r="I316" t="str">
            <v>Gas;Conventional;0;5</v>
          </cell>
          <cell r="J316" t="str">
            <v>AB</v>
          </cell>
          <cell r="K316" t="str">
            <v>Medium</v>
          </cell>
          <cell r="L316">
            <v>2</v>
          </cell>
          <cell r="M316">
            <v>10</v>
          </cell>
        </row>
        <row r="317">
          <cell r="A317">
            <v>5</v>
          </cell>
          <cell r="B317">
            <v>2001</v>
          </cell>
          <cell r="C317">
            <v>1</v>
          </cell>
          <cell r="D317" t="str">
            <v>Production</v>
          </cell>
          <cell r="E317" t="str">
            <v>Gas</v>
          </cell>
          <cell r="F317" t="str">
            <v>Conventional</v>
          </cell>
          <cell r="G317">
            <v>0</v>
          </cell>
          <cell r="H317" t="str">
            <v>Production;Gas;Conventional</v>
          </cell>
          <cell r="I317" t="str">
            <v>Gas;Conventional;0;5</v>
          </cell>
          <cell r="J317" t="str">
            <v>AB</v>
          </cell>
          <cell r="K317" t="str">
            <v>Deep</v>
          </cell>
          <cell r="L317">
            <v>33</v>
          </cell>
          <cell r="M317">
            <v>412</v>
          </cell>
        </row>
        <row r="318">
          <cell r="A318">
            <v>5</v>
          </cell>
          <cell r="B318">
            <v>2001</v>
          </cell>
          <cell r="C318">
            <v>1</v>
          </cell>
          <cell r="D318" t="str">
            <v>Production</v>
          </cell>
          <cell r="E318" t="str">
            <v>Gas</v>
          </cell>
          <cell r="F318" t="str">
            <v>Conventional</v>
          </cell>
          <cell r="G318">
            <v>0</v>
          </cell>
          <cell r="H318" t="str">
            <v>Production;Gas;Conventional</v>
          </cell>
          <cell r="I318" t="str">
            <v>Gas;Conventional;0;5</v>
          </cell>
          <cell r="J318" t="str">
            <v>AB</v>
          </cell>
          <cell r="K318" t="str">
            <v>Medium</v>
          </cell>
          <cell r="L318">
            <v>243</v>
          </cell>
          <cell r="M318">
            <v>1626</v>
          </cell>
        </row>
        <row r="319">
          <cell r="A319">
            <v>5</v>
          </cell>
          <cell r="B319">
            <v>2001</v>
          </cell>
          <cell r="C319">
            <v>1</v>
          </cell>
          <cell r="D319" t="str">
            <v>Production</v>
          </cell>
          <cell r="E319" t="str">
            <v>Gas</v>
          </cell>
          <cell r="F319" t="str">
            <v>Conventional</v>
          </cell>
          <cell r="G319">
            <v>0</v>
          </cell>
          <cell r="H319" t="str">
            <v>Production;Gas;Conventional</v>
          </cell>
          <cell r="I319" t="str">
            <v>Gas;Conventional;0;5</v>
          </cell>
          <cell r="J319" t="str">
            <v>AB</v>
          </cell>
          <cell r="K319" t="str">
            <v>Shallow</v>
          </cell>
          <cell r="L319">
            <v>300</v>
          </cell>
          <cell r="M319">
            <v>1227.6536943000001</v>
          </cell>
        </row>
        <row r="320">
          <cell r="A320">
            <v>5</v>
          </cell>
          <cell r="B320">
            <v>2001</v>
          </cell>
          <cell r="C320">
            <v>2</v>
          </cell>
          <cell r="D320" t="str">
            <v>Production</v>
          </cell>
          <cell r="E320" t="str">
            <v>Gas</v>
          </cell>
          <cell r="F320" t="str">
            <v>Conventional</v>
          </cell>
          <cell r="G320">
            <v>0</v>
          </cell>
          <cell r="H320" t="str">
            <v>Production;Gas;Conventional</v>
          </cell>
          <cell r="I320" t="str">
            <v>Gas;Conventional;0;5</v>
          </cell>
          <cell r="J320" t="str">
            <v>AB</v>
          </cell>
          <cell r="K320" t="str">
            <v>Deep</v>
          </cell>
          <cell r="L320">
            <v>1</v>
          </cell>
          <cell r="M320">
            <v>24</v>
          </cell>
        </row>
        <row r="321">
          <cell r="A321">
            <v>5</v>
          </cell>
          <cell r="B321">
            <v>2001</v>
          </cell>
          <cell r="C321">
            <v>2</v>
          </cell>
          <cell r="D321" t="str">
            <v>Production</v>
          </cell>
          <cell r="E321" t="str">
            <v>Gas</v>
          </cell>
          <cell r="F321" t="str">
            <v>Conventional</v>
          </cell>
          <cell r="G321">
            <v>0</v>
          </cell>
          <cell r="H321" t="str">
            <v>Production;Gas;Conventional</v>
          </cell>
          <cell r="I321" t="str">
            <v>Gas;Conventional;0;5</v>
          </cell>
          <cell r="J321" t="str">
            <v>AB</v>
          </cell>
          <cell r="K321" t="str">
            <v>MEDIUM</v>
          </cell>
          <cell r="L321">
            <v>2</v>
          </cell>
          <cell r="M321">
            <v>26.5</v>
          </cell>
        </row>
        <row r="322">
          <cell r="A322">
            <v>5</v>
          </cell>
          <cell r="B322">
            <v>2001</v>
          </cell>
          <cell r="C322">
            <v>2</v>
          </cell>
          <cell r="D322" t="str">
            <v>Production</v>
          </cell>
          <cell r="E322" t="str">
            <v>Gas</v>
          </cell>
          <cell r="F322" t="str">
            <v>Conventional</v>
          </cell>
          <cell r="G322">
            <v>0</v>
          </cell>
          <cell r="H322" t="str">
            <v>Production;Gas;Conventional</v>
          </cell>
          <cell r="I322" t="str">
            <v>Gas;Conventional;0;5</v>
          </cell>
          <cell r="J322" t="str">
            <v>AB</v>
          </cell>
          <cell r="K322" t="str">
            <v>Shallow</v>
          </cell>
          <cell r="L322">
            <v>2</v>
          </cell>
          <cell r="M322">
            <v>7</v>
          </cell>
        </row>
        <row r="323">
          <cell r="A323">
            <v>5</v>
          </cell>
          <cell r="B323">
            <v>2002</v>
          </cell>
          <cell r="C323">
            <v>1</v>
          </cell>
          <cell r="D323" t="str">
            <v>Production</v>
          </cell>
          <cell r="E323" t="str">
            <v>Gas</v>
          </cell>
          <cell r="F323" t="str">
            <v>Conventional</v>
          </cell>
          <cell r="G323">
            <v>0</v>
          </cell>
          <cell r="H323" t="str">
            <v>Production;Gas;Conventional</v>
          </cell>
          <cell r="I323" t="str">
            <v>Gas;Conventional;0;5</v>
          </cell>
          <cell r="J323" t="str">
            <v>AB</v>
          </cell>
          <cell r="K323" t="str">
            <v>Deep</v>
          </cell>
          <cell r="L323">
            <v>17</v>
          </cell>
          <cell r="M323">
            <v>194</v>
          </cell>
        </row>
        <row r="324">
          <cell r="A324">
            <v>5</v>
          </cell>
          <cell r="B324">
            <v>2002</v>
          </cell>
          <cell r="C324">
            <v>1</v>
          </cell>
          <cell r="D324" t="str">
            <v>Production</v>
          </cell>
          <cell r="E324" t="str">
            <v>Gas</v>
          </cell>
          <cell r="F324" t="str">
            <v>Conventional</v>
          </cell>
          <cell r="G324">
            <v>0</v>
          </cell>
          <cell r="H324" t="str">
            <v>Production;Gas;Conventional</v>
          </cell>
          <cell r="I324" t="str">
            <v>Gas;Conventional;0;5</v>
          </cell>
          <cell r="J324" t="str">
            <v>AB</v>
          </cell>
          <cell r="K324" t="str">
            <v>Medium</v>
          </cell>
          <cell r="L324">
            <v>183</v>
          </cell>
          <cell r="M324">
            <v>1432</v>
          </cell>
        </row>
        <row r="325">
          <cell r="A325">
            <v>5</v>
          </cell>
          <cell r="B325">
            <v>2002</v>
          </cell>
          <cell r="C325">
            <v>1</v>
          </cell>
          <cell r="D325" t="str">
            <v>Production</v>
          </cell>
          <cell r="E325" t="str">
            <v>Gas</v>
          </cell>
          <cell r="F325" t="str">
            <v>Conventional</v>
          </cell>
          <cell r="G325">
            <v>0</v>
          </cell>
          <cell r="H325" t="str">
            <v>Production;Gas;Conventional</v>
          </cell>
          <cell r="I325" t="str">
            <v>Gas;Conventional;0;5</v>
          </cell>
          <cell r="J325" t="str">
            <v>AB</v>
          </cell>
          <cell r="K325" t="str">
            <v>Shallow</v>
          </cell>
          <cell r="L325">
            <v>273</v>
          </cell>
          <cell r="M325">
            <v>1104.0023757999998</v>
          </cell>
        </row>
        <row r="326">
          <cell r="A326">
            <v>5</v>
          </cell>
          <cell r="B326">
            <v>2002</v>
          </cell>
          <cell r="C326">
            <v>2</v>
          </cell>
          <cell r="D326" t="str">
            <v>Production</v>
          </cell>
          <cell r="E326" t="str">
            <v>Gas</v>
          </cell>
          <cell r="F326" t="str">
            <v>Conventional</v>
          </cell>
          <cell r="G326">
            <v>0</v>
          </cell>
          <cell r="H326" t="str">
            <v>Production;Gas;Conventional</v>
          </cell>
          <cell r="I326" t="str">
            <v>Gas;Conventional;0;5</v>
          </cell>
          <cell r="J326" t="str">
            <v>AB</v>
          </cell>
          <cell r="K326" t="str">
            <v>Shallow</v>
          </cell>
          <cell r="L326">
            <v>1</v>
          </cell>
          <cell r="M326">
            <v>1</v>
          </cell>
        </row>
        <row r="327">
          <cell r="A327">
            <v>5</v>
          </cell>
          <cell r="B327">
            <v>2003</v>
          </cell>
          <cell r="C327">
            <v>1</v>
          </cell>
          <cell r="D327" t="str">
            <v>Production</v>
          </cell>
          <cell r="E327" t="str">
            <v>Gas</v>
          </cell>
          <cell r="F327" t="str">
            <v>Conventional</v>
          </cell>
          <cell r="G327">
            <v>0</v>
          </cell>
          <cell r="H327" t="str">
            <v>Production;Gas;Conventional</v>
          </cell>
          <cell r="I327" t="str">
            <v>Gas;Conventional;0;5</v>
          </cell>
          <cell r="J327" t="str">
            <v>AB</v>
          </cell>
          <cell r="K327" t="str">
            <v>Deep</v>
          </cell>
          <cell r="L327">
            <v>24</v>
          </cell>
          <cell r="M327">
            <v>232.5</v>
          </cell>
        </row>
        <row r="328">
          <cell r="A328">
            <v>5</v>
          </cell>
          <cell r="B328">
            <v>2003</v>
          </cell>
          <cell r="C328">
            <v>1</v>
          </cell>
          <cell r="D328" t="str">
            <v>Production</v>
          </cell>
          <cell r="E328" t="str">
            <v>Gas</v>
          </cell>
          <cell r="F328" t="str">
            <v>Conventional</v>
          </cell>
          <cell r="G328">
            <v>0</v>
          </cell>
          <cell r="H328" t="str">
            <v>Production;Gas;Conventional</v>
          </cell>
          <cell r="I328" t="str">
            <v>Gas;Conventional;0;5</v>
          </cell>
          <cell r="J328" t="str">
            <v>AB</v>
          </cell>
          <cell r="K328" t="str">
            <v>Medium</v>
          </cell>
          <cell r="L328">
            <v>313</v>
          </cell>
          <cell r="M328">
            <v>2114.1666730000002</v>
          </cell>
        </row>
        <row r="329">
          <cell r="A329">
            <v>5</v>
          </cell>
          <cell r="B329">
            <v>2003</v>
          </cell>
          <cell r="C329">
            <v>1</v>
          </cell>
          <cell r="D329" t="str">
            <v>Production</v>
          </cell>
          <cell r="E329" t="str">
            <v>Gas</v>
          </cell>
          <cell r="F329" t="str">
            <v>Conventional</v>
          </cell>
          <cell r="G329">
            <v>0</v>
          </cell>
          <cell r="H329" t="str">
            <v>Production;Gas;Conventional</v>
          </cell>
          <cell r="I329" t="str">
            <v>Gas;Conventional;0;5</v>
          </cell>
          <cell r="J329" t="str">
            <v>AB</v>
          </cell>
          <cell r="K329" t="str">
            <v>Shallow</v>
          </cell>
          <cell r="L329">
            <v>524</v>
          </cell>
          <cell r="M329">
            <v>1914.4375471999999</v>
          </cell>
        </row>
        <row r="330">
          <cell r="A330">
            <v>5</v>
          </cell>
          <cell r="B330">
            <v>2003</v>
          </cell>
          <cell r="C330">
            <v>2</v>
          </cell>
          <cell r="D330" t="str">
            <v>Production</v>
          </cell>
          <cell r="E330" t="str">
            <v>Gas</v>
          </cell>
          <cell r="F330" t="str">
            <v>Conventional</v>
          </cell>
          <cell r="G330">
            <v>0</v>
          </cell>
          <cell r="H330" t="str">
            <v>Production;Gas;Conventional</v>
          </cell>
          <cell r="I330" t="str">
            <v>Gas;Conventional;0;5</v>
          </cell>
          <cell r="J330" t="str">
            <v>AB</v>
          </cell>
          <cell r="K330" t="str">
            <v>Medium</v>
          </cell>
          <cell r="L330">
            <v>1</v>
          </cell>
          <cell r="M330">
            <v>10</v>
          </cell>
        </row>
        <row r="331">
          <cell r="A331">
            <v>5</v>
          </cell>
          <cell r="B331">
            <v>2004</v>
          </cell>
          <cell r="C331">
            <v>1</v>
          </cell>
          <cell r="D331" t="str">
            <v>Production</v>
          </cell>
          <cell r="E331" t="str">
            <v>Gas</v>
          </cell>
          <cell r="F331" t="str">
            <v>Conventional</v>
          </cell>
          <cell r="G331">
            <v>0</v>
          </cell>
          <cell r="H331" t="str">
            <v>Production;Gas;Conventional</v>
          </cell>
          <cell r="I331" t="str">
            <v>Gas;Conventional;0;5</v>
          </cell>
          <cell r="J331" t="str">
            <v>AB</v>
          </cell>
          <cell r="K331" t="str">
            <v>Deep</v>
          </cell>
          <cell r="L331">
            <v>45</v>
          </cell>
          <cell r="M331">
            <v>324.16666600000002</v>
          </cell>
        </row>
        <row r="332">
          <cell r="A332">
            <v>5</v>
          </cell>
          <cell r="B332">
            <v>2004</v>
          </cell>
          <cell r="C332">
            <v>1</v>
          </cell>
          <cell r="D332" t="str">
            <v>Production</v>
          </cell>
          <cell r="E332" t="str">
            <v>Gas</v>
          </cell>
          <cell r="F332" t="str">
            <v>Conventional</v>
          </cell>
          <cell r="G332">
            <v>0</v>
          </cell>
          <cell r="H332" t="str">
            <v>Production;Gas;Conventional</v>
          </cell>
          <cell r="I332" t="str">
            <v>Gas;Conventional;0;5</v>
          </cell>
          <cell r="J332" t="str">
            <v>AB</v>
          </cell>
          <cell r="K332" t="str">
            <v>Medium</v>
          </cell>
          <cell r="L332">
            <v>391</v>
          </cell>
          <cell r="M332">
            <v>2179.6333340000001</v>
          </cell>
        </row>
        <row r="333">
          <cell r="A333">
            <v>5</v>
          </cell>
          <cell r="B333">
            <v>2004</v>
          </cell>
          <cell r="C333">
            <v>1</v>
          </cell>
          <cell r="D333" t="str">
            <v>Production</v>
          </cell>
          <cell r="E333" t="str">
            <v>Gas</v>
          </cell>
          <cell r="F333" t="str">
            <v>Conventional</v>
          </cell>
          <cell r="G333">
            <v>0</v>
          </cell>
          <cell r="H333" t="str">
            <v>Production;Gas;Conventional</v>
          </cell>
          <cell r="I333" t="str">
            <v>Gas;Conventional;0;5</v>
          </cell>
          <cell r="J333" t="str">
            <v>AB</v>
          </cell>
          <cell r="K333" t="str">
            <v>Shallow</v>
          </cell>
          <cell r="L333">
            <v>571</v>
          </cell>
          <cell r="M333">
            <v>2671.1023873999993</v>
          </cell>
        </row>
        <row r="334">
          <cell r="A334">
            <v>5</v>
          </cell>
          <cell r="B334">
            <v>2004</v>
          </cell>
          <cell r="C334">
            <v>2</v>
          </cell>
          <cell r="D334" t="str">
            <v>Production</v>
          </cell>
          <cell r="E334" t="str">
            <v>Gas</v>
          </cell>
          <cell r="F334" t="str">
            <v>Conventional</v>
          </cell>
          <cell r="G334">
            <v>0</v>
          </cell>
          <cell r="H334" t="str">
            <v>Production;Gas;Conventional</v>
          </cell>
          <cell r="I334" t="str">
            <v>Gas;Conventional;0;5</v>
          </cell>
          <cell r="J334" t="str">
            <v>AB</v>
          </cell>
          <cell r="K334" t="str">
            <v>Medium</v>
          </cell>
          <cell r="L334">
            <v>5</v>
          </cell>
          <cell r="M334">
            <v>58</v>
          </cell>
        </row>
        <row r="335">
          <cell r="A335">
            <v>5</v>
          </cell>
          <cell r="B335">
            <v>2004</v>
          </cell>
          <cell r="C335">
            <v>2</v>
          </cell>
          <cell r="D335" t="str">
            <v>Production</v>
          </cell>
          <cell r="E335" t="str">
            <v>Gas</v>
          </cell>
          <cell r="F335" t="str">
            <v>Conventional</v>
          </cell>
          <cell r="G335">
            <v>0</v>
          </cell>
          <cell r="H335" t="str">
            <v>Production;Gas;Conventional</v>
          </cell>
          <cell r="I335" t="str">
            <v>Gas;Conventional;0;5</v>
          </cell>
          <cell r="J335" t="str">
            <v>AB</v>
          </cell>
          <cell r="K335" t="str">
            <v>Shallow</v>
          </cell>
          <cell r="L335">
            <v>1</v>
          </cell>
          <cell r="M335">
            <v>1</v>
          </cell>
        </row>
        <row r="336">
          <cell r="A336">
            <v>5</v>
          </cell>
          <cell r="B336">
            <v>2005</v>
          </cell>
          <cell r="C336">
            <v>1</v>
          </cell>
          <cell r="D336" t="str">
            <v>Production</v>
          </cell>
          <cell r="E336" t="str">
            <v>Gas</v>
          </cell>
          <cell r="F336" t="str">
            <v>Conventional</v>
          </cell>
          <cell r="G336">
            <v>0</v>
          </cell>
          <cell r="H336" t="str">
            <v>Production;Gas;Conventional</v>
          </cell>
          <cell r="I336" t="str">
            <v>Gas;Conventional;0;5</v>
          </cell>
          <cell r="J336" t="str">
            <v>AB</v>
          </cell>
          <cell r="K336" t="str">
            <v>Deep</v>
          </cell>
          <cell r="L336">
            <v>64</v>
          </cell>
          <cell r="M336">
            <v>295.98332729999987</v>
          </cell>
        </row>
        <row r="337">
          <cell r="A337">
            <v>5</v>
          </cell>
          <cell r="B337">
            <v>2005</v>
          </cell>
          <cell r="C337">
            <v>1</v>
          </cell>
          <cell r="D337" t="str">
            <v>Production</v>
          </cell>
          <cell r="E337" t="str">
            <v>Gas</v>
          </cell>
          <cell r="F337" t="str">
            <v>Conventional</v>
          </cell>
          <cell r="G337">
            <v>0</v>
          </cell>
          <cell r="H337" t="str">
            <v>Production;Gas;Conventional</v>
          </cell>
          <cell r="I337" t="str">
            <v>Gas;Conventional;0;5</v>
          </cell>
          <cell r="J337" t="str">
            <v>AB</v>
          </cell>
          <cell r="K337" t="str">
            <v>Medium</v>
          </cell>
          <cell r="L337">
            <v>446</v>
          </cell>
          <cell r="M337">
            <v>2288.8952660999985</v>
          </cell>
        </row>
        <row r="338">
          <cell r="A338">
            <v>5</v>
          </cell>
          <cell r="B338">
            <v>2005</v>
          </cell>
          <cell r="C338">
            <v>1</v>
          </cell>
          <cell r="D338" t="str">
            <v>Production</v>
          </cell>
          <cell r="E338" t="str">
            <v>Gas</v>
          </cell>
          <cell r="F338" t="str">
            <v>Conventional</v>
          </cell>
          <cell r="G338">
            <v>0</v>
          </cell>
          <cell r="H338" t="str">
            <v>Production;Gas;Conventional</v>
          </cell>
          <cell r="I338" t="str">
            <v>Gas;Conventional;0;5</v>
          </cell>
          <cell r="J338" t="str">
            <v>AB</v>
          </cell>
          <cell r="K338" t="str">
            <v>Shallow</v>
          </cell>
          <cell r="L338">
            <v>698</v>
          </cell>
          <cell r="M338">
            <v>2901.2555563999986</v>
          </cell>
        </row>
        <row r="339">
          <cell r="A339">
            <v>5</v>
          </cell>
          <cell r="B339">
            <v>2005</v>
          </cell>
          <cell r="C339">
            <v>2</v>
          </cell>
          <cell r="D339" t="str">
            <v>Production</v>
          </cell>
          <cell r="E339" t="str">
            <v>Gas</v>
          </cell>
          <cell r="F339" t="str">
            <v>Conventional</v>
          </cell>
          <cell r="G339">
            <v>0</v>
          </cell>
          <cell r="H339" t="str">
            <v>Production;Gas;Conventional</v>
          </cell>
          <cell r="I339" t="str">
            <v>Gas;Conventional;0;5</v>
          </cell>
          <cell r="J339" t="str">
            <v>AB</v>
          </cell>
          <cell r="K339" t="str">
            <v>Medium</v>
          </cell>
          <cell r="L339">
            <v>1</v>
          </cell>
          <cell r="M339">
            <v>21</v>
          </cell>
        </row>
        <row r="340">
          <cell r="A340">
            <v>5</v>
          </cell>
          <cell r="B340">
            <v>2005</v>
          </cell>
          <cell r="C340">
            <v>2</v>
          </cell>
          <cell r="D340" t="str">
            <v>Production</v>
          </cell>
          <cell r="E340" t="str">
            <v>Gas</v>
          </cell>
          <cell r="F340" t="str">
            <v>Conventional</v>
          </cell>
          <cell r="G340">
            <v>0</v>
          </cell>
          <cell r="H340" t="str">
            <v>Production;Gas;Conventional</v>
          </cell>
          <cell r="I340" t="str">
            <v>Gas;Conventional;0;5</v>
          </cell>
          <cell r="J340" t="str">
            <v>AB</v>
          </cell>
          <cell r="K340" t="str">
            <v>Shallow</v>
          </cell>
          <cell r="L340">
            <v>1</v>
          </cell>
          <cell r="M340">
            <v>2</v>
          </cell>
        </row>
        <row r="341">
          <cell r="A341">
            <v>5</v>
          </cell>
          <cell r="B341">
            <v>2006</v>
          </cell>
          <cell r="C341">
            <v>1</v>
          </cell>
          <cell r="D341" t="str">
            <v>Production</v>
          </cell>
          <cell r="E341" t="str">
            <v>Gas</v>
          </cell>
          <cell r="F341" t="str">
            <v>Conventional</v>
          </cell>
          <cell r="G341">
            <v>0</v>
          </cell>
          <cell r="H341" t="str">
            <v>Production;Gas;Conventional</v>
          </cell>
          <cell r="I341" t="str">
            <v>Gas;Conventional;0;5</v>
          </cell>
          <cell r="J341" t="str">
            <v>AB</v>
          </cell>
          <cell r="K341" t="str">
            <v>Deep</v>
          </cell>
          <cell r="L341">
            <v>19</v>
          </cell>
          <cell r="M341">
            <v>142.28570999999999</v>
          </cell>
        </row>
        <row r="342">
          <cell r="A342">
            <v>5</v>
          </cell>
          <cell r="B342">
            <v>2006</v>
          </cell>
          <cell r="C342">
            <v>1</v>
          </cell>
          <cell r="D342" t="str">
            <v>Production</v>
          </cell>
          <cell r="E342" t="str">
            <v>Gas</v>
          </cell>
          <cell r="F342" t="str">
            <v>Conventional</v>
          </cell>
          <cell r="G342">
            <v>0</v>
          </cell>
          <cell r="H342" t="str">
            <v>Production;Gas;Conventional</v>
          </cell>
          <cell r="I342" t="str">
            <v>Gas;Conventional;0;5</v>
          </cell>
          <cell r="J342" t="str">
            <v>AB</v>
          </cell>
          <cell r="K342" t="str">
            <v>Medium</v>
          </cell>
          <cell r="L342">
            <v>212</v>
          </cell>
          <cell r="M342">
            <v>1303.6499959000002</v>
          </cell>
        </row>
        <row r="343">
          <cell r="A343">
            <v>5</v>
          </cell>
          <cell r="B343">
            <v>2006</v>
          </cell>
          <cell r="C343">
            <v>1</v>
          </cell>
          <cell r="D343" t="str">
            <v>Production</v>
          </cell>
          <cell r="E343" t="str">
            <v>Gas</v>
          </cell>
          <cell r="F343" t="str">
            <v>Conventional</v>
          </cell>
          <cell r="G343">
            <v>0</v>
          </cell>
          <cell r="H343" t="str">
            <v>Production;Gas;Conventional</v>
          </cell>
          <cell r="I343" t="str">
            <v>Gas;Conventional;0;5</v>
          </cell>
          <cell r="J343" t="str">
            <v>AB</v>
          </cell>
          <cell r="K343" t="str">
            <v>Shallow</v>
          </cell>
          <cell r="L343">
            <v>439</v>
          </cell>
          <cell r="M343">
            <v>2127.0108473</v>
          </cell>
        </row>
        <row r="344">
          <cell r="A344">
            <v>5</v>
          </cell>
          <cell r="B344">
            <v>2006</v>
          </cell>
          <cell r="C344">
            <v>2</v>
          </cell>
          <cell r="D344" t="str">
            <v>Production</v>
          </cell>
          <cell r="E344" t="str">
            <v>Gas</v>
          </cell>
          <cell r="F344" t="str">
            <v>Conventional</v>
          </cell>
          <cell r="G344">
            <v>0</v>
          </cell>
          <cell r="H344" t="str">
            <v>Production;Gas;Conventional</v>
          </cell>
          <cell r="I344" t="str">
            <v>Gas;Conventional;0;5</v>
          </cell>
          <cell r="J344" t="str">
            <v>AB</v>
          </cell>
          <cell r="K344" t="str">
            <v>Medium</v>
          </cell>
          <cell r="L344">
            <v>1</v>
          </cell>
          <cell r="M344">
            <v>4</v>
          </cell>
        </row>
        <row r="345">
          <cell r="A345">
            <v>5</v>
          </cell>
          <cell r="B345">
            <v>2007</v>
          </cell>
          <cell r="C345">
            <v>1</v>
          </cell>
          <cell r="D345" t="str">
            <v>Production</v>
          </cell>
          <cell r="E345" t="str">
            <v>Gas</v>
          </cell>
          <cell r="F345" t="str">
            <v>Conventional</v>
          </cell>
          <cell r="G345">
            <v>0</v>
          </cell>
          <cell r="H345" t="str">
            <v>Production;Gas;Conventional</v>
          </cell>
          <cell r="I345" t="str">
            <v>Gas;Conventional;0;5</v>
          </cell>
          <cell r="J345" t="str">
            <v>AB</v>
          </cell>
          <cell r="K345" t="str">
            <v>Deep</v>
          </cell>
          <cell r="L345">
            <v>1</v>
          </cell>
          <cell r="M345">
            <v>7</v>
          </cell>
        </row>
        <row r="346">
          <cell r="A346">
            <v>5</v>
          </cell>
          <cell r="B346">
            <v>2007</v>
          </cell>
          <cell r="C346">
            <v>1</v>
          </cell>
          <cell r="D346" t="str">
            <v>Production</v>
          </cell>
          <cell r="E346" t="str">
            <v>Gas</v>
          </cell>
          <cell r="F346" t="str">
            <v>Conventional</v>
          </cell>
          <cell r="G346">
            <v>0</v>
          </cell>
          <cell r="H346" t="str">
            <v>Production;Gas;Conventional</v>
          </cell>
          <cell r="I346" t="str">
            <v>Gas;Conventional;0;5</v>
          </cell>
          <cell r="J346" t="str">
            <v>AB</v>
          </cell>
          <cell r="K346" t="str">
            <v>Medium</v>
          </cell>
          <cell r="L346">
            <v>29</v>
          </cell>
          <cell r="M346">
            <v>242</v>
          </cell>
        </row>
        <row r="347">
          <cell r="A347">
            <v>5</v>
          </cell>
          <cell r="B347">
            <v>2007</v>
          </cell>
          <cell r="C347">
            <v>1</v>
          </cell>
          <cell r="D347" t="str">
            <v>Production</v>
          </cell>
          <cell r="E347" t="str">
            <v>Gas</v>
          </cell>
          <cell r="F347" t="str">
            <v>Conventional</v>
          </cell>
          <cell r="G347">
            <v>0</v>
          </cell>
          <cell r="H347" t="str">
            <v>Production;Gas;Conventional</v>
          </cell>
          <cell r="I347" t="str">
            <v>Gas;Conventional;0;5</v>
          </cell>
          <cell r="J347" t="str">
            <v>AB</v>
          </cell>
          <cell r="K347" t="str">
            <v>Shallow</v>
          </cell>
          <cell r="L347">
            <v>37</v>
          </cell>
          <cell r="M347">
            <v>148</v>
          </cell>
        </row>
        <row r="348">
          <cell r="A348">
            <v>6</v>
          </cell>
          <cell r="B348">
            <v>2000</v>
          </cell>
          <cell r="C348">
            <v>1</v>
          </cell>
          <cell r="D348" t="str">
            <v>Production</v>
          </cell>
          <cell r="E348" t="str">
            <v>Gas</v>
          </cell>
          <cell r="F348" t="str">
            <v>Conventional</v>
          </cell>
          <cell r="G348">
            <v>0</v>
          </cell>
          <cell r="H348" t="str">
            <v>Production;Gas;Conventional</v>
          </cell>
          <cell r="I348" t="str">
            <v>Gas;Conventional;0;6</v>
          </cell>
          <cell r="J348" t="str">
            <v>AB</v>
          </cell>
          <cell r="K348" t="str">
            <v>Medium</v>
          </cell>
          <cell r="L348">
            <v>13</v>
          </cell>
          <cell r="M348">
            <v>75.083332999999996</v>
          </cell>
        </row>
        <row r="349">
          <cell r="A349">
            <v>6</v>
          </cell>
          <cell r="B349">
            <v>2000</v>
          </cell>
          <cell r="C349">
            <v>1</v>
          </cell>
          <cell r="D349" t="str">
            <v>Production</v>
          </cell>
          <cell r="E349" t="str">
            <v>Gas</v>
          </cell>
          <cell r="F349" t="str">
            <v>Conventional</v>
          </cell>
          <cell r="G349">
            <v>0</v>
          </cell>
          <cell r="H349" t="str">
            <v>Production;Gas;Conventional</v>
          </cell>
          <cell r="I349" t="str">
            <v>Gas;Conventional;0;6</v>
          </cell>
          <cell r="J349" t="str">
            <v>AB</v>
          </cell>
          <cell r="K349" t="str">
            <v>Shallow</v>
          </cell>
          <cell r="L349">
            <v>423</v>
          </cell>
          <cell r="M349">
            <v>1484.0488638999998</v>
          </cell>
        </row>
        <row r="350">
          <cell r="A350">
            <v>6</v>
          </cell>
          <cell r="B350">
            <v>2000</v>
          </cell>
          <cell r="C350">
            <v>2</v>
          </cell>
          <cell r="D350" t="str">
            <v>Production</v>
          </cell>
          <cell r="E350" t="str">
            <v>Gas</v>
          </cell>
          <cell r="F350" t="str">
            <v>Conventional</v>
          </cell>
          <cell r="G350">
            <v>0</v>
          </cell>
          <cell r="H350" t="str">
            <v>Production;Gas;Conventional</v>
          </cell>
          <cell r="I350" t="str">
            <v>Gas;Conventional;0;6</v>
          </cell>
          <cell r="J350" t="str">
            <v>AB</v>
          </cell>
          <cell r="K350" t="str">
            <v>Shallow</v>
          </cell>
          <cell r="L350">
            <v>2</v>
          </cell>
          <cell r="M350">
            <v>8.5</v>
          </cell>
        </row>
        <row r="351">
          <cell r="A351">
            <v>6</v>
          </cell>
          <cell r="B351">
            <v>2001</v>
          </cell>
          <cell r="C351">
            <v>1</v>
          </cell>
          <cell r="D351" t="str">
            <v>Production</v>
          </cell>
          <cell r="E351" t="str">
            <v>Gas</v>
          </cell>
          <cell r="F351" t="str">
            <v>Conventional</v>
          </cell>
          <cell r="G351">
            <v>0</v>
          </cell>
          <cell r="H351" t="str">
            <v>Production;Gas;Conventional</v>
          </cell>
          <cell r="I351" t="str">
            <v>Gas;Conventional;0;6</v>
          </cell>
          <cell r="J351" t="str">
            <v>AB</v>
          </cell>
          <cell r="K351" t="str">
            <v>MEDIUM</v>
          </cell>
          <cell r="L351">
            <v>11</v>
          </cell>
          <cell r="M351">
            <v>48</v>
          </cell>
        </row>
        <row r="352">
          <cell r="A352">
            <v>6</v>
          </cell>
          <cell r="B352">
            <v>2001</v>
          </cell>
          <cell r="C352">
            <v>1</v>
          </cell>
          <cell r="D352" t="str">
            <v>Production</v>
          </cell>
          <cell r="E352" t="str">
            <v>Gas</v>
          </cell>
          <cell r="F352" t="str">
            <v>Conventional</v>
          </cell>
          <cell r="G352">
            <v>0</v>
          </cell>
          <cell r="H352" t="str">
            <v>Production;Gas;Conventional</v>
          </cell>
          <cell r="I352" t="str">
            <v>Gas;Conventional;0;6</v>
          </cell>
          <cell r="J352" t="str">
            <v>AB</v>
          </cell>
          <cell r="K352" t="str">
            <v>Shallow</v>
          </cell>
          <cell r="L352">
            <v>414</v>
          </cell>
          <cell r="M352">
            <v>1653.0094775000007</v>
          </cell>
        </row>
        <row r="353">
          <cell r="A353">
            <v>6</v>
          </cell>
          <cell r="B353">
            <v>2002</v>
          </cell>
          <cell r="C353">
            <v>1</v>
          </cell>
          <cell r="D353" t="str">
            <v>Production</v>
          </cell>
          <cell r="E353" t="str">
            <v>Gas</v>
          </cell>
          <cell r="F353" t="str">
            <v>Conventional</v>
          </cell>
          <cell r="G353">
            <v>0</v>
          </cell>
          <cell r="H353" t="str">
            <v>Production;Gas;Conventional</v>
          </cell>
          <cell r="I353" t="str">
            <v>Gas;Conventional;0;6</v>
          </cell>
          <cell r="J353" t="str">
            <v>AB</v>
          </cell>
          <cell r="K353" t="str">
            <v>Medium</v>
          </cell>
          <cell r="L353">
            <v>8</v>
          </cell>
          <cell r="M353">
            <v>44.016666999999998</v>
          </cell>
        </row>
        <row r="354">
          <cell r="A354">
            <v>6</v>
          </cell>
          <cell r="B354">
            <v>2002</v>
          </cell>
          <cell r="C354">
            <v>1</v>
          </cell>
          <cell r="D354" t="str">
            <v>Production</v>
          </cell>
          <cell r="E354" t="str">
            <v>Gas</v>
          </cell>
          <cell r="F354" t="str">
            <v>Conventional</v>
          </cell>
          <cell r="G354">
            <v>0</v>
          </cell>
          <cell r="H354" t="str">
            <v>Production;Gas;Conventional</v>
          </cell>
          <cell r="I354" t="str">
            <v>Gas;Conventional;0;6</v>
          </cell>
          <cell r="J354" t="str">
            <v>AB</v>
          </cell>
          <cell r="K354" t="str">
            <v>Shallow</v>
          </cell>
          <cell r="L354">
            <v>229</v>
          </cell>
          <cell r="M354">
            <v>1208.5549360999998</v>
          </cell>
        </row>
        <row r="355">
          <cell r="A355">
            <v>6</v>
          </cell>
          <cell r="B355">
            <v>2003</v>
          </cell>
          <cell r="C355">
            <v>1</v>
          </cell>
          <cell r="D355" t="str">
            <v>Production</v>
          </cell>
          <cell r="E355" t="str">
            <v>Gas</v>
          </cell>
          <cell r="F355" t="str">
            <v>Conventional</v>
          </cell>
          <cell r="G355">
            <v>0</v>
          </cell>
          <cell r="H355" t="str">
            <v>Production;Gas;Conventional</v>
          </cell>
          <cell r="I355" t="str">
            <v>Gas;Conventional;0;6</v>
          </cell>
          <cell r="J355" t="str">
            <v>AB</v>
          </cell>
          <cell r="K355" t="str">
            <v>Medium</v>
          </cell>
          <cell r="L355">
            <v>7</v>
          </cell>
          <cell r="M355">
            <v>22.5</v>
          </cell>
        </row>
        <row r="356">
          <cell r="A356">
            <v>6</v>
          </cell>
          <cell r="B356">
            <v>2003</v>
          </cell>
          <cell r="C356">
            <v>1</v>
          </cell>
          <cell r="D356" t="str">
            <v>Production</v>
          </cell>
          <cell r="E356" t="str">
            <v>Gas</v>
          </cell>
          <cell r="F356" t="str">
            <v>Conventional</v>
          </cell>
          <cell r="G356">
            <v>0</v>
          </cell>
          <cell r="H356" t="str">
            <v>Production;Gas;Conventional</v>
          </cell>
          <cell r="I356" t="str">
            <v>Gas;Conventional;0;6</v>
          </cell>
          <cell r="J356" t="str">
            <v>AB</v>
          </cell>
          <cell r="K356" t="str">
            <v>Shallow</v>
          </cell>
          <cell r="L356">
            <v>280</v>
          </cell>
          <cell r="M356">
            <v>846.28690210000002</v>
          </cell>
        </row>
        <row r="357">
          <cell r="A357">
            <v>6</v>
          </cell>
          <cell r="B357">
            <v>2004</v>
          </cell>
          <cell r="C357">
            <v>1</v>
          </cell>
          <cell r="D357" t="str">
            <v>Production</v>
          </cell>
          <cell r="E357" t="str">
            <v>Gas</v>
          </cell>
          <cell r="F357" t="str">
            <v>Conventional</v>
          </cell>
          <cell r="G357">
            <v>0</v>
          </cell>
          <cell r="H357" t="str">
            <v>Production;Gas;Conventional</v>
          </cell>
          <cell r="I357" t="str">
            <v>Gas;Conventional;0;6</v>
          </cell>
          <cell r="J357" t="str">
            <v>AB</v>
          </cell>
          <cell r="K357" t="str">
            <v>Medium</v>
          </cell>
          <cell r="L357">
            <v>1</v>
          </cell>
          <cell r="M357">
            <v>2</v>
          </cell>
        </row>
        <row r="358">
          <cell r="A358">
            <v>6</v>
          </cell>
          <cell r="B358">
            <v>2004</v>
          </cell>
          <cell r="C358">
            <v>1</v>
          </cell>
          <cell r="D358" t="str">
            <v>Production</v>
          </cell>
          <cell r="E358" t="str">
            <v>Gas</v>
          </cell>
          <cell r="F358" t="str">
            <v>Conventional</v>
          </cell>
          <cell r="G358">
            <v>0</v>
          </cell>
          <cell r="H358" t="str">
            <v>Production;Gas;Conventional</v>
          </cell>
          <cell r="I358" t="str">
            <v>Gas;Conventional;0;6</v>
          </cell>
          <cell r="J358" t="str">
            <v>AB</v>
          </cell>
          <cell r="K358" t="str">
            <v>Shallow</v>
          </cell>
          <cell r="L358">
            <v>220</v>
          </cell>
          <cell r="M358">
            <v>895.55218760000002</v>
          </cell>
        </row>
        <row r="359">
          <cell r="A359">
            <v>6</v>
          </cell>
          <cell r="B359">
            <v>2005</v>
          </cell>
          <cell r="C359">
            <v>1</v>
          </cell>
          <cell r="D359" t="str">
            <v>Production</v>
          </cell>
          <cell r="E359" t="str">
            <v>Gas</v>
          </cell>
          <cell r="F359" t="str">
            <v>Conventional</v>
          </cell>
          <cell r="G359">
            <v>0</v>
          </cell>
          <cell r="H359" t="str">
            <v>Production;Gas;Conventional</v>
          </cell>
          <cell r="I359" t="str">
            <v>Gas;Conventional;0;6</v>
          </cell>
          <cell r="J359" t="str">
            <v>AB</v>
          </cell>
          <cell r="K359" t="str">
            <v>Deep</v>
          </cell>
          <cell r="L359">
            <v>3</v>
          </cell>
          <cell r="M359">
            <v>18.033329699999999</v>
          </cell>
        </row>
        <row r="360">
          <cell r="A360">
            <v>6</v>
          </cell>
          <cell r="B360">
            <v>2005</v>
          </cell>
          <cell r="C360">
            <v>1</v>
          </cell>
          <cell r="D360" t="str">
            <v>Production</v>
          </cell>
          <cell r="E360" t="str">
            <v>Gas</v>
          </cell>
          <cell r="F360" t="str">
            <v>Conventional</v>
          </cell>
          <cell r="G360">
            <v>0</v>
          </cell>
          <cell r="H360" t="str">
            <v>Production;Gas;Conventional</v>
          </cell>
          <cell r="I360" t="str">
            <v>Gas;Conventional;0;6</v>
          </cell>
          <cell r="J360" t="str">
            <v>AB</v>
          </cell>
          <cell r="K360" t="str">
            <v>Shallow</v>
          </cell>
          <cell r="L360">
            <v>160</v>
          </cell>
          <cell r="M360">
            <v>719.76825069999995</v>
          </cell>
        </row>
        <row r="361">
          <cell r="A361">
            <v>6</v>
          </cell>
          <cell r="B361">
            <v>2005</v>
          </cell>
          <cell r="C361">
            <v>2</v>
          </cell>
          <cell r="D361" t="str">
            <v>Production</v>
          </cell>
          <cell r="E361" t="str">
            <v>Gas</v>
          </cell>
          <cell r="F361" t="str">
            <v>Conventional</v>
          </cell>
          <cell r="G361">
            <v>0</v>
          </cell>
          <cell r="H361" t="str">
            <v>Production;Gas;Conventional</v>
          </cell>
          <cell r="I361" t="str">
            <v>Gas;Conventional;0;6</v>
          </cell>
          <cell r="J361" t="str">
            <v>AB</v>
          </cell>
          <cell r="K361" t="str">
            <v>Shallow</v>
          </cell>
          <cell r="L361">
            <v>1</v>
          </cell>
          <cell r="M361">
            <v>5</v>
          </cell>
        </row>
        <row r="362">
          <cell r="A362">
            <v>6</v>
          </cell>
          <cell r="B362">
            <v>2006</v>
          </cell>
          <cell r="C362">
            <v>1</v>
          </cell>
          <cell r="D362" t="str">
            <v>Production</v>
          </cell>
          <cell r="E362" t="str">
            <v>Gas</v>
          </cell>
          <cell r="F362" t="str">
            <v>Conventional</v>
          </cell>
          <cell r="G362">
            <v>0</v>
          </cell>
          <cell r="H362" t="str">
            <v>Production;Gas;Conventional</v>
          </cell>
          <cell r="I362" t="str">
            <v>Gas;Conventional;0;6</v>
          </cell>
          <cell r="J362" t="str">
            <v>AB</v>
          </cell>
          <cell r="K362" t="str">
            <v>Medium</v>
          </cell>
          <cell r="L362">
            <v>2</v>
          </cell>
          <cell r="M362">
            <v>8.5</v>
          </cell>
        </row>
        <row r="363">
          <cell r="A363">
            <v>6</v>
          </cell>
          <cell r="B363">
            <v>2006</v>
          </cell>
          <cell r="C363">
            <v>1</v>
          </cell>
          <cell r="D363" t="str">
            <v>Production</v>
          </cell>
          <cell r="E363" t="str">
            <v>Gas</v>
          </cell>
          <cell r="F363" t="str">
            <v>Conventional</v>
          </cell>
          <cell r="G363">
            <v>0</v>
          </cell>
          <cell r="H363" t="str">
            <v>Production;Gas;Conventional</v>
          </cell>
          <cell r="I363" t="str">
            <v>Gas;Conventional;0;6</v>
          </cell>
          <cell r="J363" t="str">
            <v>AB</v>
          </cell>
          <cell r="K363" t="str">
            <v>Shallow</v>
          </cell>
          <cell r="L363">
            <v>237</v>
          </cell>
          <cell r="M363">
            <v>833.18332589999989</v>
          </cell>
        </row>
        <row r="364">
          <cell r="A364">
            <v>6</v>
          </cell>
          <cell r="B364">
            <v>2007</v>
          </cell>
          <cell r="C364">
            <v>1</v>
          </cell>
          <cell r="D364" t="str">
            <v>Production</v>
          </cell>
          <cell r="E364" t="str">
            <v>Gas</v>
          </cell>
          <cell r="F364" t="str">
            <v>Conventional</v>
          </cell>
          <cell r="G364">
            <v>0</v>
          </cell>
          <cell r="H364" t="str">
            <v>Production;Gas;Conventional</v>
          </cell>
          <cell r="I364" t="str">
            <v>Gas;Conventional;0;6</v>
          </cell>
          <cell r="J364" t="str">
            <v>AB</v>
          </cell>
          <cell r="K364" t="str">
            <v>Shallow</v>
          </cell>
          <cell r="L364">
            <v>85</v>
          </cell>
          <cell r="M364">
            <v>763.91669999999999</v>
          </cell>
        </row>
        <row r="365">
          <cell r="A365">
            <v>7</v>
          </cell>
          <cell r="B365">
            <v>2000</v>
          </cell>
          <cell r="C365">
            <v>1</v>
          </cell>
          <cell r="D365" t="str">
            <v>Production</v>
          </cell>
          <cell r="E365" t="str">
            <v>Gas</v>
          </cell>
          <cell r="F365" t="str">
            <v>Conventional</v>
          </cell>
          <cell r="G365">
            <v>0</v>
          </cell>
          <cell r="H365" t="str">
            <v>Production;Gas;Conventional</v>
          </cell>
          <cell r="I365" t="str">
            <v>Gas;Conventional;0;7</v>
          </cell>
          <cell r="J365" t="str">
            <v>AB</v>
          </cell>
          <cell r="K365" t="str">
            <v>Deep</v>
          </cell>
          <cell r="L365">
            <v>35</v>
          </cell>
          <cell r="M365">
            <v>734.5</v>
          </cell>
        </row>
        <row r="366">
          <cell r="A366">
            <v>7</v>
          </cell>
          <cell r="B366">
            <v>2000</v>
          </cell>
          <cell r="C366">
            <v>1</v>
          </cell>
          <cell r="D366" t="str">
            <v>Production</v>
          </cell>
          <cell r="E366" t="str">
            <v>Gas</v>
          </cell>
          <cell r="F366" t="str">
            <v>Conventional</v>
          </cell>
          <cell r="G366">
            <v>0</v>
          </cell>
          <cell r="H366" t="str">
            <v>Production;Gas;Conventional</v>
          </cell>
          <cell r="I366" t="str">
            <v>Gas;Conventional;0;7</v>
          </cell>
          <cell r="J366" t="str">
            <v>AB</v>
          </cell>
          <cell r="K366" t="str">
            <v>Medium</v>
          </cell>
          <cell r="L366">
            <v>183</v>
          </cell>
          <cell r="M366">
            <v>1691.3654879999999</v>
          </cell>
        </row>
        <row r="367">
          <cell r="A367">
            <v>7</v>
          </cell>
          <cell r="B367">
            <v>2000</v>
          </cell>
          <cell r="C367">
            <v>1</v>
          </cell>
          <cell r="D367" t="str">
            <v>Production</v>
          </cell>
          <cell r="E367" t="str">
            <v>Gas</v>
          </cell>
          <cell r="F367" t="str">
            <v>Conventional</v>
          </cell>
          <cell r="G367">
            <v>0</v>
          </cell>
          <cell r="H367" t="str">
            <v>Production;Gas;Conventional</v>
          </cell>
          <cell r="I367" t="str">
            <v>Gas;Conventional;0;7</v>
          </cell>
          <cell r="J367" t="str">
            <v>AB</v>
          </cell>
          <cell r="K367" t="str">
            <v>SHALLOW</v>
          </cell>
          <cell r="L367">
            <v>524</v>
          </cell>
          <cell r="M367">
            <v>1672.6736659999997</v>
          </cell>
        </row>
        <row r="368">
          <cell r="A368">
            <v>7</v>
          </cell>
          <cell r="B368">
            <v>2000</v>
          </cell>
          <cell r="C368">
            <v>2</v>
          </cell>
          <cell r="D368" t="str">
            <v>Production</v>
          </cell>
          <cell r="E368" t="str">
            <v>Gas</v>
          </cell>
          <cell r="F368" t="str">
            <v>Conventional</v>
          </cell>
          <cell r="G368">
            <v>0</v>
          </cell>
          <cell r="H368" t="str">
            <v>Production;Gas;Conventional</v>
          </cell>
          <cell r="I368" t="str">
            <v>Gas;Conventional;0;7</v>
          </cell>
          <cell r="J368" t="str">
            <v>AB</v>
          </cell>
          <cell r="K368" t="str">
            <v>Medium</v>
          </cell>
          <cell r="L368">
            <v>2</v>
          </cell>
          <cell r="M368">
            <v>12</v>
          </cell>
        </row>
        <row r="369">
          <cell r="A369">
            <v>7</v>
          </cell>
          <cell r="B369">
            <v>2001</v>
          </cell>
          <cell r="C369">
            <v>1</v>
          </cell>
          <cell r="D369" t="str">
            <v>Production</v>
          </cell>
          <cell r="E369" t="str">
            <v>Gas</v>
          </cell>
          <cell r="F369" t="str">
            <v>Conventional</v>
          </cell>
          <cell r="G369">
            <v>0</v>
          </cell>
          <cell r="H369" t="str">
            <v>Production;Gas;Conventional</v>
          </cell>
          <cell r="I369" t="str">
            <v>Gas;Conventional;0;7</v>
          </cell>
          <cell r="J369" t="str">
            <v>AB</v>
          </cell>
          <cell r="K369" t="str">
            <v>Deep</v>
          </cell>
          <cell r="L369">
            <v>35</v>
          </cell>
          <cell r="M369">
            <v>643.5</v>
          </cell>
        </row>
        <row r="370">
          <cell r="A370">
            <v>7</v>
          </cell>
          <cell r="B370">
            <v>2001</v>
          </cell>
          <cell r="C370">
            <v>1</v>
          </cell>
          <cell r="D370" t="str">
            <v>Production</v>
          </cell>
          <cell r="E370" t="str">
            <v>Gas</v>
          </cell>
          <cell r="F370" t="str">
            <v>Conventional</v>
          </cell>
          <cell r="G370">
            <v>0</v>
          </cell>
          <cell r="H370" t="str">
            <v>Production;Gas;Conventional</v>
          </cell>
          <cell r="I370" t="str">
            <v>Gas;Conventional;0;7</v>
          </cell>
          <cell r="J370" t="str">
            <v>AB</v>
          </cell>
          <cell r="K370" t="str">
            <v>Medium</v>
          </cell>
          <cell r="L370">
            <v>223</v>
          </cell>
          <cell r="M370">
            <v>2551</v>
          </cell>
        </row>
        <row r="371">
          <cell r="A371">
            <v>7</v>
          </cell>
          <cell r="B371">
            <v>2001</v>
          </cell>
          <cell r="C371">
            <v>1</v>
          </cell>
          <cell r="D371" t="str">
            <v>Production</v>
          </cell>
          <cell r="E371" t="str">
            <v>Gas</v>
          </cell>
          <cell r="F371" t="str">
            <v>Conventional</v>
          </cell>
          <cell r="G371">
            <v>0</v>
          </cell>
          <cell r="H371" t="str">
            <v>Production;Gas;Conventional</v>
          </cell>
          <cell r="I371" t="str">
            <v>Gas;Conventional;0;7</v>
          </cell>
          <cell r="J371" t="str">
            <v>AB</v>
          </cell>
          <cell r="K371" t="str">
            <v>Shallow</v>
          </cell>
          <cell r="L371">
            <v>615</v>
          </cell>
          <cell r="M371">
            <v>1622.8556209000003</v>
          </cell>
        </row>
        <row r="372">
          <cell r="A372">
            <v>7</v>
          </cell>
          <cell r="B372">
            <v>2001</v>
          </cell>
          <cell r="C372">
            <v>2</v>
          </cell>
          <cell r="D372" t="str">
            <v>Production</v>
          </cell>
          <cell r="E372" t="str">
            <v>Gas</v>
          </cell>
          <cell r="F372" t="str">
            <v>Conventional</v>
          </cell>
          <cell r="G372">
            <v>0</v>
          </cell>
          <cell r="H372" t="str">
            <v>Production;Gas;Conventional</v>
          </cell>
          <cell r="I372" t="str">
            <v>Gas;Conventional;0;7</v>
          </cell>
          <cell r="J372" t="str">
            <v>AB</v>
          </cell>
          <cell r="K372" t="str">
            <v>MEDIUM</v>
          </cell>
          <cell r="L372">
            <v>1</v>
          </cell>
          <cell r="M372">
            <v>17</v>
          </cell>
        </row>
        <row r="373">
          <cell r="A373">
            <v>7</v>
          </cell>
          <cell r="B373">
            <v>2001</v>
          </cell>
          <cell r="C373">
            <v>2</v>
          </cell>
          <cell r="D373" t="str">
            <v>Production</v>
          </cell>
          <cell r="E373" t="str">
            <v>Gas</v>
          </cell>
          <cell r="F373" t="str">
            <v>Conventional</v>
          </cell>
          <cell r="G373">
            <v>0</v>
          </cell>
          <cell r="H373" t="str">
            <v>Production;Gas;Conventional</v>
          </cell>
          <cell r="I373" t="str">
            <v>Gas;Conventional;0;7</v>
          </cell>
          <cell r="J373" t="str">
            <v>AB</v>
          </cell>
          <cell r="K373" t="str">
            <v>Shallow</v>
          </cell>
          <cell r="L373">
            <v>1</v>
          </cell>
          <cell r="M373">
            <v>2</v>
          </cell>
        </row>
        <row r="374">
          <cell r="A374">
            <v>7</v>
          </cell>
          <cell r="B374">
            <v>2002</v>
          </cell>
          <cell r="C374">
            <v>1</v>
          </cell>
          <cell r="D374" t="str">
            <v>Production</v>
          </cell>
          <cell r="E374" t="str">
            <v>Gas</v>
          </cell>
          <cell r="F374" t="str">
            <v>Conventional</v>
          </cell>
          <cell r="G374">
            <v>0</v>
          </cell>
          <cell r="H374" t="str">
            <v>Production;Gas;Conventional</v>
          </cell>
          <cell r="I374" t="str">
            <v>Gas;Conventional;0;7</v>
          </cell>
          <cell r="J374" t="str">
            <v>AB</v>
          </cell>
          <cell r="K374" t="str">
            <v>Deep</v>
          </cell>
          <cell r="L374">
            <v>24</v>
          </cell>
          <cell r="M374">
            <v>604.66667000000007</v>
          </cell>
        </row>
        <row r="375">
          <cell r="A375">
            <v>7</v>
          </cell>
          <cell r="B375">
            <v>2002</v>
          </cell>
          <cell r="C375">
            <v>1</v>
          </cell>
          <cell r="D375" t="str">
            <v>Production</v>
          </cell>
          <cell r="E375" t="str">
            <v>Gas</v>
          </cell>
          <cell r="F375" t="str">
            <v>Conventional</v>
          </cell>
          <cell r="G375">
            <v>0</v>
          </cell>
          <cell r="H375" t="str">
            <v>Production;Gas;Conventional</v>
          </cell>
          <cell r="I375" t="str">
            <v>Gas;Conventional;0;7</v>
          </cell>
          <cell r="J375" t="str">
            <v>AB</v>
          </cell>
          <cell r="K375" t="str">
            <v>Medium</v>
          </cell>
          <cell r="L375">
            <v>153</v>
          </cell>
          <cell r="M375">
            <v>1903.2666673000001</v>
          </cell>
        </row>
        <row r="376">
          <cell r="A376">
            <v>7</v>
          </cell>
          <cell r="B376">
            <v>2002</v>
          </cell>
          <cell r="C376">
            <v>1</v>
          </cell>
          <cell r="D376" t="str">
            <v>Production</v>
          </cell>
          <cell r="E376" t="str">
            <v>Gas</v>
          </cell>
          <cell r="F376" t="str">
            <v>Conventional</v>
          </cell>
          <cell r="G376">
            <v>0</v>
          </cell>
          <cell r="H376" t="str">
            <v>Production;Gas;Conventional</v>
          </cell>
          <cell r="I376" t="str">
            <v>Gas;Conventional;0;7</v>
          </cell>
          <cell r="J376" t="str">
            <v>AB</v>
          </cell>
          <cell r="K376" t="str">
            <v>Shallow</v>
          </cell>
          <cell r="L376">
            <v>397</v>
          </cell>
          <cell r="M376">
            <v>1410.2034572000002</v>
          </cell>
        </row>
        <row r="377">
          <cell r="A377">
            <v>7</v>
          </cell>
          <cell r="B377">
            <v>2003</v>
          </cell>
          <cell r="C377">
            <v>1</v>
          </cell>
          <cell r="D377" t="str">
            <v>Production</v>
          </cell>
          <cell r="E377" t="str">
            <v>Gas</v>
          </cell>
          <cell r="F377" t="str">
            <v>Conventional</v>
          </cell>
          <cell r="G377">
            <v>0</v>
          </cell>
          <cell r="H377" t="str">
            <v>Production;Gas;Conventional</v>
          </cell>
          <cell r="I377" t="str">
            <v>Gas;Conventional;0;7</v>
          </cell>
          <cell r="J377" t="str">
            <v>AB</v>
          </cell>
          <cell r="K377" t="str">
            <v>Deep</v>
          </cell>
          <cell r="L377">
            <v>19</v>
          </cell>
          <cell r="M377">
            <v>469</v>
          </cell>
        </row>
        <row r="378">
          <cell r="A378">
            <v>7</v>
          </cell>
          <cell r="B378">
            <v>2003</v>
          </cell>
          <cell r="C378">
            <v>1</v>
          </cell>
          <cell r="D378" t="str">
            <v>Production</v>
          </cell>
          <cell r="E378" t="str">
            <v>Gas</v>
          </cell>
          <cell r="F378" t="str">
            <v>Conventional</v>
          </cell>
          <cell r="G378">
            <v>0</v>
          </cell>
          <cell r="H378" t="str">
            <v>Production;Gas;Conventional</v>
          </cell>
          <cell r="I378" t="str">
            <v>Gas;Conventional;0;7</v>
          </cell>
          <cell r="J378" t="str">
            <v>AB</v>
          </cell>
          <cell r="K378" t="str">
            <v>Medium</v>
          </cell>
          <cell r="L378">
            <v>177</v>
          </cell>
          <cell r="M378">
            <v>2160.999996</v>
          </cell>
        </row>
        <row r="379">
          <cell r="A379">
            <v>7</v>
          </cell>
          <cell r="B379">
            <v>2003</v>
          </cell>
          <cell r="C379">
            <v>1</v>
          </cell>
          <cell r="D379" t="str">
            <v>Production</v>
          </cell>
          <cell r="E379" t="str">
            <v>Gas</v>
          </cell>
          <cell r="F379" t="str">
            <v>Conventional</v>
          </cell>
          <cell r="G379">
            <v>0</v>
          </cell>
          <cell r="H379" t="str">
            <v>Production;Gas;Conventional</v>
          </cell>
          <cell r="I379" t="str">
            <v>Gas;Conventional;0;7</v>
          </cell>
          <cell r="J379" t="str">
            <v>AB</v>
          </cell>
          <cell r="K379" t="str">
            <v>Shallow</v>
          </cell>
          <cell r="L379">
            <v>503</v>
          </cell>
          <cell r="M379">
            <v>1256.6745645000001</v>
          </cell>
        </row>
        <row r="380">
          <cell r="A380">
            <v>7</v>
          </cell>
          <cell r="B380">
            <v>2003</v>
          </cell>
          <cell r="C380">
            <v>2</v>
          </cell>
          <cell r="D380" t="str">
            <v>Production</v>
          </cell>
          <cell r="E380" t="str">
            <v>Gas</v>
          </cell>
          <cell r="F380" t="str">
            <v>Conventional</v>
          </cell>
          <cell r="G380">
            <v>0</v>
          </cell>
          <cell r="H380" t="str">
            <v>Production;Gas;Conventional</v>
          </cell>
          <cell r="I380" t="str">
            <v>Gas;Conventional;0;7</v>
          </cell>
          <cell r="J380" t="str">
            <v>AB</v>
          </cell>
          <cell r="K380" t="str">
            <v>Medium</v>
          </cell>
          <cell r="L380">
            <v>3</v>
          </cell>
          <cell r="M380">
            <v>32.5</v>
          </cell>
        </row>
        <row r="381">
          <cell r="A381">
            <v>7</v>
          </cell>
          <cell r="B381">
            <v>2004</v>
          </cell>
          <cell r="C381">
            <v>1</v>
          </cell>
          <cell r="D381" t="str">
            <v>Production</v>
          </cell>
          <cell r="E381" t="str">
            <v>Gas</v>
          </cell>
          <cell r="F381" t="str">
            <v>Conventional</v>
          </cell>
          <cell r="G381">
            <v>0</v>
          </cell>
          <cell r="H381" t="str">
            <v>Production;Gas;Conventional</v>
          </cell>
          <cell r="I381" t="str">
            <v>Gas;Conventional;0;7</v>
          </cell>
          <cell r="J381" t="str">
            <v>AB</v>
          </cell>
          <cell r="K381" t="str">
            <v>Deep</v>
          </cell>
          <cell r="L381">
            <v>27</v>
          </cell>
          <cell r="M381">
            <v>671.33332999999993</v>
          </cell>
        </row>
        <row r="382">
          <cell r="A382">
            <v>7</v>
          </cell>
          <cell r="B382">
            <v>2004</v>
          </cell>
          <cell r="C382">
            <v>1</v>
          </cell>
          <cell r="D382" t="str">
            <v>Production</v>
          </cell>
          <cell r="E382" t="str">
            <v>Gas</v>
          </cell>
          <cell r="F382" t="str">
            <v>Conventional</v>
          </cell>
          <cell r="G382">
            <v>0</v>
          </cell>
          <cell r="H382" t="str">
            <v>Production;Gas;Conventional</v>
          </cell>
          <cell r="I382" t="str">
            <v>Gas;Conventional;0;7</v>
          </cell>
          <cell r="J382" t="str">
            <v>AB</v>
          </cell>
          <cell r="K382" t="str">
            <v>Medium</v>
          </cell>
          <cell r="L382">
            <v>235</v>
          </cell>
          <cell r="M382">
            <v>2629.6666700000001</v>
          </cell>
        </row>
        <row r="383">
          <cell r="A383">
            <v>7</v>
          </cell>
          <cell r="B383">
            <v>2004</v>
          </cell>
          <cell r="C383">
            <v>1</v>
          </cell>
          <cell r="D383" t="str">
            <v>Production</v>
          </cell>
          <cell r="E383" t="str">
            <v>Gas</v>
          </cell>
          <cell r="F383" t="str">
            <v>Conventional</v>
          </cell>
          <cell r="G383">
            <v>0</v>
          </cell>
          <cell r="H383" t="str">
            <v>Production;Gas;Conventional</v>
          </cell>
          <cell r="I383" t="str">
            <v>Gas;Conventional;0;7</v>
          </cell>
          <cell r="J383" t="str">
            <v>AB</v>
          </cell>
          <cell r="K383" t="str">
            <v>SHALLOW</v>
          </cell>
          <cell r="L383">
            <v>510</v>
          </cell>
          <cell r="M383">
            <v>1363.6761182000009</v>
          </cell>
        </row>
        <row r="384">
          <cell r="A384">
            <v>7</v>
          </cell>
          <cell r="B384">
            <v>2004</v>
          </cell>
          <cell r="C384">
            <v>2</v>
          </cell>
          <cell r="D384" t="str">
            <v>Production</v>
          </cell>
          <cell r="E384" t="str">
            <v>Gas</v>
          </cell>
          <cell r="F384" t="str">
            <v>Conventional</v>
          </cell>
          <cell r="G384">
            <v>0</v>
          </cell>
          <cell r="H384" t="str">
            <v>Production;Gas;Conventional</v>
          </cell>
          <cell r="I384" t="str">
            <v>Gas;Conventional;0;7</v>
          </cell>
          <cell r="J384" t="str">
            <v>AB</v>
          </cell>
          <cell r="K384" t="str">
            <v>Medium</v>
          </cell>
          <cell r="L384">
            <v>2</v>
          </cell>
          <cell r="M384">
            <v>14</v>
          </cell>
        </row>
        <row r="385">
          <cell r="A385">
            <v>7</v>
          </cell>
          <cell r="B385">
            <v>2004</v>
          </cell>
          <cell r="C385">
            <v>2</v>
          </cell>
          <cell r="D385" t="str">
            <v>Production</v>
          </cell>
          <cell r="E385" t="str">
            <v>Gas</v>
          </cell>
          <cell r="F385" t="str">
            <v>Conventional</v>
          </cell>
          <cell r="G385">
            <v>0</v>
          </cell>
          <cell r="H385" t="str">
            <v>Production;Gas;Conventional</v>
          </cell>
          <cell r="I385" t="str">
            <v>Gas;Conventional;0;7</v>
          </cell>
          <cell r="J385" t="str">
            <v>AB</v>
          </cell>
          <cell r="K385" t="str">
            <v>SHALLOW</v>
          </cell>
          <cell r="L385">
            <v>2</v>
          </cell>
          <cell r="M385">
            <v>29.5</v>
          </cell>
        </row>
        <row r="386">
          <cell r="A386">
            <v>7</v>
          </cell>
          <cell r="B386">
            <v>2005</v>
          </cell>
          <cell r="C386">
            <v>1</v>
          </cell>
          <cell r="D386" t="str">
            <v>Production</v>
          </cell>
          <cell r="E386" t="str">
            <v>Gas</v>
          </cell>
          <cell r="F386" t="str">
            <v>Conventional</v>
          </cell>
          <cell r="G386">
            <v>0</v>
          </cell>
          <cell r="H386" t="str">
            <v>Production;Gas;Conventional</v>
          </cell>
          <cell r="I386" t="str">
            <v>Gas;Conventional;0;7</v>
          </cell>
          <cell r="J386" t="str">
            <v>AB</v>
          </cell>
          <cell r="K386" t="str">
            <v>Deep</v>
          </cell>
          <cell r="L386">
            <v>19</v>
          </cell>
          <cell r="M386">
            <v>428.66667000000001</v>
          </cell>
        </row>
        <row r="387">
          <cell r="A387">
            <v>7</v>
          </cell>
          <cell r="B387">
            <v>2005</v>
          </cell>
          <cell r="C387">
            <v>1</v>
          </cell>
          <cell r="D387" t="str">
            <v>Production</v>
          </cell>
          <cell r="E387" t="str">
            <v>Gas</v>
          </cell>
          <cell r="F387" t="str">
            <v>Conventional</v>
          </cell>
          <cell r="G387">
            <v>0</v>
          </cell>
          <cell r="H387" t="str">
            <v>Production;Gas;Conventional</v>
          </cell>
          <cell r="I387" t="str">
            <v>Gas;Conventional;0;7</v>
          </cell>
          <cell r="J387" t="str">
            <v>AB</v>
          </cell>
          <cell r="K387" t="str">
            <v>Medium</v>
          </cell>
          <cell r="L387">
            <v>287</v>
          </cell>
          <cell r="M387">
            <v>3309.8333339999999</v>
          </cell>
        </row>
        <row r="388">
          <cell r="A388">
            <v>7</v>
          </cell>
          <cell r="B388">
            <v>2005</v>
          </cell>
          <cell r="C388">
            <v>1</v>
          </cell>
          <cell r="D388" t="str">
            <v>Production</v>
          </cell>
          <cell r="E388" t="str">
            <v>Gas</v>
          </cell>
          <cell r="F388" t="str">
            <v>Conventional</v>
          </cell>
          <cell r="G388">
            <v>0</v>
          </cell>
          <cell r="H388" t="str">
            <v>Production;Gas;Conventional</v>
          </cell>
          <cell r="I388" t="str">
            <v>Gas;Conventional;0;7</v>
          </cell>
          <cell r="J388" t="str">
            <v>AB</v>
          </cell>
          <cell r="K388" t="str">
            <v>Shallow</v>
          </cell>
          <cell r="L388">
            <v>570</v>
          </cell>
          <cell r="M388">
            <v>1681.86533259</v>
          </cell>
        </row>
        <row r="389">
          <cell r="A389">
            <v>7</v>
          </cell>
          <cell r="B389">
            <v>2005</v>
          </cell>
          <cell r="C389">
            <v>2</v>
          </cell>
          <cell r="D389" t="str">
            <v>Production</v>
          </cell>
          <cell r="E389" t="str">
            <v>Gas</v>
          </cell>
          <cell r="F389" t="str">
            <v>Conventional</v>
          </cell>
          <cell r="G389">
            <v>0</v>
          </cell>
          <cell r="H389" t="str">
            <v>Production;Gas;Conventional</v>
          </cell>
          <cell r="I389" t="str">
            <v>Gas;Conventional;0;7</v>
          </cell>
          <cell r="J389" t="str">
            <v>AB</v>
          </cell>
          <cell r="K389" t="str">
            <v>Deep</v>
          </cell>
          <cell r="L389">
            <v>1</v>
          </cell>
          <cell r="M389">
            <v>6</v>
          </cell>
        </row>
        <row r="390">
          <cell r="A390">
            <v>7</v>
          </cell>
          <cell r="B390">
            <v>2005</v>
          </cell>
          <cell r="C390">
            <v>2</v>
          </cell>
          <cell r="D390" t="str">
            <v>Production</v>
          </cell>
          <cell r="E390" t="str">
            <v>Gas</v>
          </cell>
          <cell r="F390" t="str">
            <v>Conventional</v>
          </cell>
          <cell r="G390">
            <v>0</v>
          </cell>
          <cell r="H390" t="str">
            <v>Production;Gas;Conventional</v>
          </cell>
          <cell r="I390" t="str">
            <v>Gas;Conventional;0;7</v>
          </cell>
          <cell r="J390" t="str">
            <v>AB</v>
          </cell>
          <cell r="K390" t="str">
            <v>Shallow</v>
          </cell>
          <cell r="L390">
            <v>1</v>
          </cell>
          <cell r="M390">
            <v>1</v>
          </cell>
        </row>
        <row r="391">
          <cell r="A391">
            <v>7</v>
          </cell>
          <cell r="B391">
            <v>2006</v>
          </cell>
          <cell r="C391">
            <v>1</v>
          </cell>
          <cell r="D391" t="str">
            <v>Production</v>
          </cell>
          <cell r="E391" t="str">
            <v>Gas</v>
          </cell>
          <cell r="F391" t="str">
            <v>Conventional</v>
          </cell>
          <cell r="G391">
            <v>0</v>
          </cell>
          <cell r="H391" t="str">
            <v>Production;Gas;Conventional</v>
          </cell>
          <cell r="I391" t="str">
            <v>Gas;Conventional;0;7</v>
          </cell>
          <cell r="J391" t="str">
            <v>AB</v>
          </cell>
          <cell r="K391" t="str">
            <v>Deep</v>
          </cell>
          <cell r="L391">
            <v>42</v>
          </cell>
          <cell r="M391">
            <v>777</v>
          </cell>
        </row>
        <row r="392">
          <cell r="A392">
            <v>7</v>
          </cell>
          <cell r="B392">
            <v>2006</v>
          </cell>
          <cell r="C392">
            <v>1</v>
          </cell>
          <cell r="D392" t="str">
            <v>Production</v>
          </cell>
          <cell r="E392" t="str">
            <v>Gas</v>
          </cell>
          <cell r="F392" t="str">
            <v>Conventional</v>
          </cell>
          <cell r="G392">
            <v>0</v>
          </cell>
          <cell r="H392" t="str">
            <v>Production;Gas;Conventional</v>
          </cell>
          <cell r="I392" t="str">
            <v>Gas;Conventional;0;7</v>
          </cell>
          <cell r="J392" t="str">
            <v>AB</v>
          </cell>
          <cell r="K392" t="str">
            <v>Medium</v>
          </cell>
          <cell r="L392">
            <v>220</v>
          </cell>
          <cell r="M392">
            <v>2336.0833360000001</v>
          </cell>
        </row>
        <row r="393">
          <cell r="A393">
            <v>7</v>
          </cell>
          <cell r="B393">
            <v>2006</v>
          </cell>
          <cell r="C393">
            <v>1</v>
          </cell>
          <cell r="D393" t="str">
            <v>Production</v>
          </cell>
          <cell r="E393" t="str">
            <v>Gas</v>
          </cell>
          <cell r="F393" t="str">
            <v>Conventional</v>
          </cell>
          <cell r="G393">
            <v>0</v>
          </cell>
          <cell r="H393" t="str">
            <v>Production;Gas;Conventional</v>
          </cell>
          <cell r="I393" t="str">
            <v>Gas;Conventional;0;7</v>
          </cell>
          <cell r="J393" t="str">
            <v>AB</v>
          </cell>
          <cell r="K393" t="str">
            <v>Shallow</v>
          </cell>
          <cell r="L393">
            <v>429</v>
          </cell>
          <cell r="M393">
            <v>1461.4595328</v>
          </cell>
        </row>
        <row r="394">
          <cell r="A394">
            <v>7</v>
          </cell>
          <cell r="B394">
            <v>2006</v>
          </cell>
          <cell r="C394">
            <v>2</v>
          </cell>
          <cell r="D394" t="str">
            <v>Production</v>
          </cell>
          <cell r="E394" t="str">
            <v>Gas</v>
          </cell>
          <cell r="F394" t="str">
            <v>Conventional</v>
          </cell>
          <cell r="G394">
            <v>0</v>
          </cell>
          <cell r="H394" t="str">
            <v>Production;Gas;Conventional</v>
          </cell>
          <cell r="I394" t="str">
            <v>Gas;Conventional;0;7</v>
          </cell>
          <cell r="J394" t="str">
            <v>AB</v>
          </cell>
          <cell r="K394" t="str">
            <v>Medium</v>
          </cell>
          <cell r="L394">
            <v>1</v>
          </cell>
          <cell r="M394">
            <v>8</v>
          </cell>
        </row>
        <row r="395">
          <cell r="A395">
            <v>7</v>
          </cell>
          <cell r="B395">
            <v>2006</v>
          </cell>
          <cell r="C395">
            <v>2</v>
          </cell>
          <cell r="D395" t="str">
            <v>Production</v>
          </cell>
          <cell r="E395" t="str">
            <v>Gas</v>
          </cell>
          <cell r="F395" t="str">
            <v>Conventional</v>
          </cell>
          <cell r="G395">
            <v>0</v>
          </cell>
          <cell r="H395" t="str">
            <v>Production;Gas;Conventional</v>
          </cell>
          <cell r="I395" t="str">
            <v>Gas;Conventional;0;7</v>
          </cell>
          <cell r="J395" t="str">
            <v>AB</v>
          </cell>
          <cell r="K395" t="str">
            <v>Shallow</v>
          </cell>
          <cell r="L395">
            <v>1</v>
          </cell>
          <cell r="M395">
            <v>1</v>
          </cell>
        </row>
        <row r="396">
          <cell r="A396">
            <v>7</v>
          </cell>
          <cell r="B396">
            <v>2006</v>
          </cell>
          <cell r="C396">
            <v>3</v>
          </cell>
          <cell r="D396" t="str">
            <v>Production</v>
          </cell>
          <cell r="E396" t="str">
            <v>Gas</v>
          </cell>
          <cell r="F396" t="str">
            <v>Conventional</v>
          </cell>
          <cell r="G396">
            <v>0</v>
          </cell>
          <cell r="H396" t="str">
            <v>Production;Gas;Conventional</v>
          </cell>
          <cell r="I396" t="str">
            <v>Gas;Conventional;0;7</v>
          </cell>
          <cell r="J396" t="str">
            <v>AB</v>
          </cell>
          <cell r="K396" t="str">
            <v>Deep</v>
          </cell>
          <cell r="L396">
            <v>1</v>
          </cell>
          <cell r="M396">
            <v>7</v>
          </cell>
        </row>
        <row r="397">
          <cell r="A397">
            <v>7</v>
          </cell>
          <cell r="B397">
            <v>2007</v>
          </cell>
          <cell r="C397">
            <v>1</v>
          </cell>
          <cell r="D397" t="str">
            <v>Production</v>
          </cell>
          <cell r="E397" t="str">
            <v>Gas</v>
          </cell>
          <cell r="F397" t="str">
            <v>Conventional</v>
          </cell>
          <cell r="G397">
            <v>0</v>
          </cell>
          <cell r="H397" t="str">
            <v>Production;Gas;Conventional</v>
          </cell>
          <cell r="I397" t="str">
            <v>Gas;Conventional;0;7</v>
          </cell>
          <cell r="J397" t="str">
            <v>AB</v>
          </cell>
          <cell r="K397" t="str">
            <v>Deep</v>
          </cell>
          <cell r="L397">
            <v>8</v>
          </cell>
          <cell r="M397">
            <v>106</v>
          </cell>
        </row>
        <row r="398">
          <cell r="A398">
            <v>7</v>
          </cell>
          <cell r="B398">
            <v>2007</v>
          </cell>
          <cell r="C398">
            <v>1</v>
          </cell>
          <cell r="D398" t="str">
            <v>Production</v>
          </cell>
          <cell r="E398" t="str">
            <v>Gas</v>
          </cell>
          <cell r="F398" t="str">
            <v>Conventional</v>
          </cell>
          <cell r="G398">
            <v>0</v>
          </cell>
          <cell r="H398" t="str">
            <v>Production;Gas;Conventional</v>
          </cell>
          <cell r="I398" t="str">
            <v>Gas;Conventional;0;7</v>
          </cell>
          <cell r="J398" t="str">
            <v>AB</v>
          </cell>
          <cell r="K398" t="str">
            <v>Medium</v>
          </cell>
          <cell r="L398">
            <v>28</v>
          </cell>
          <cell r="M398">
            <v>209</v>
          </cell>
        </row>
        <row r="399">
          <cell r="A399">
            <v>7</v>
          </cell>
          <cell r="B399">
            <v>2007</v>
          </cell>
          <cell r="C399">
            <v>1</v>
          </cell>
          <cell r="D399" t="str">
            <v>Production</v>
          </cell>
          <cell r="E399" t="str">
            <v>Gas</v>
          </cell>
          <cell r="F399" t="str">
            <v>Conventional</v>
          </cell>
          <cell r="G399">
            <v>0</v>
          </cell>
          <cell r="H399" t="str">
            <v>Production;Gas;Conventional</v>
          </cell>
          <cell r="I399" t="str">
            <v>Gas;Conventional;0;7</v>
          </cell>
          <cell r="J399" t="str">
            <v>AB</v>
          </cell>
          <cell r="K399" t="str">
            <v>Shallow</v>
          </cell>
          <cell r="L399">
            <v>89</v>
          </cell>
          <cell r="M399">
            <v>334</v>
          </cell>
        </row>
        <row r="400">
          <cell r="A400">
            <v>8</v>
          </cell>
          <cell r="B400">
            <v>2000</v>
          </cell>
          <cell r="C400">
            <v>1</v>
          </cell>
          <cell r="D400" t="str">
            <v>Production</v>
          </cell>
          <cell r="E400" t="str">
            <v>Gas</v>
          </cell>
          <cell r="F400" t="str">
            <v>Conventional</v>
          </cell>
          <cell r="G400">
            <v>0</v>
          </cell>
          <cell r="H400" t="str">
            <v>Production;Gas;Conventional</v>
          </cell>
          <cell r="I400" t="str">
            <v>Gas;Conventional;0;8</v>
          </cell>
          <cell r="J400" t="str">
            <v>BC</v>
          </cell>
          <cell r="K400" t="str">
            <v>Deep</v>
          </cell>
          <cell r="L400">
            <v>28</v>
          </cell>
          <cell r="M400">
            <v>734.5</v>
          </cell>
        </row>
        <row r="401">
          <cell r="A401">
            <v>8</v>
          </cell>
          <cell r="B401">
            <v>2000</v>
          </cell>
          <cell r="C401">
            <v>1</v>
          </cell>
          <cell r="D401" t="str">
            <v>Production</v>
          </cell>
          <cell r="E401" t="str">
            <v>Gas</v>
          </cell>
          <cell r="F401" t="str">
            <v>Conventional</v>
          </cell>
          <cell r="G401">
            <v>0</v>
          </cell>
          <cell r="H401" t="str">
            <v>Production;Gas;Conventional</v>
          </cell>
          <cell r="I401" t="str">
            <v>Gas;Conventional;0;8</v>
          </cell>
          <cell r="J401" t="str">
            <v>BC</v>
          </cell>
          <cell r="K401" t="str">
            <v>Medium</v>
          </cell>
          <cell r="L401">
            <v>180</v>
          </cell>
          <cell r="M401">
            <v>2415.0357130000002</v>
          </cell>
        </row>
        <row r="402">
          <cell r="A402">
            <v>8</v>
          </cell>
          <cell r="B402">
            <v>2000</v>
          </cell>
          <cell r="C402">
            <v>1</v>
          </cell>
          <cell r="D402" t="str">
            <v>Production</v>
          </cell>
          <cell r="E402" t="str">
            <v>Gas</v>
          </cell>
          <cell r="F402" t="str">
            <v>Conventional</v>
          </cell>
          <cell r="G402">
            <v>0</v>
          </cell>
          <cell r="H402" t="str">
            <v>Production;Gas;Conventional</v>
          </cell>
          <cell r="I402" t="str">
            <v>Gas;Conventional;0;8</v>
          </cell>
          <cell r="J402" t="str">
            <v>BC</v>
          </cell>
          <cell r="K402" t="str">
            <v>Shallow</v>
          </cell>
          <cell r="L402">
            <v>86</v>
          </cell>
          <cell r="M402">
            <v>796.40951999999993</v>
          </cell>
        </row>
        <row r="403">
          <cell r="A403">
            <v>8</v>
          </cell>
          <cell r="B403">
            <v>2000</v>
          </cell>
          <cell r="C403">
            <v>2</v>
          </cell>
          <cell r="D403" t="str">
            <v>Production</v>
          </cell>
          <cell r="E403" t="str">
            <v>Gas</v>
          </cell>
          <cell r="F403" t="str">
            <v>Conventional</v>
          </cell>
          <cell r="G403">
            <v>0</v>
          </cell>
          <cell r="H403" t="str">
            <v>Production;Gas;Conventional</v>
          </cell>
          <cell r="I403" t="str">
            <v>Gas;Conventional;0;8</v>
          </cell>
          <cell r="J403" t="str">
            <v>BC</v>
          </cell>
          <cell r="K403" t="str">
            <v>Medium</v>
          </cell>
          <cell r="L403">
            <v>1</v>
          </cell>
          <cell r="M403">
            <v>12</v>
          </cell>
        </row>
        <row r="404">
          <cell r="A404">
            <v>8</v>
          </cell>
          <cell r="B404">
            <v>2000</v>
          </cell>
          <cell r="C404">
            <v>2</v>
          </cell>
          <cell r="D404" t="str">
            <v>Production</v>
          </cell>
          <cell r="E404" t="str">
            <v>Gas</v>
          </cell>
          <cell r="F404" t="str">
            <v>Conventional</v>
          </cell>
          <cell r="G404">
            <v>0</v>
          </cell>
          <cell r="H404" t="str">
            <v>Production;Gas;Conventional</v>
          </cell>
          <cell r="I404" t="str">
            <v>Gas;Conventional;0;8</v>
          </cell>
          <cell r="J404" t="str">
            <v>BC</v>
          </cell>
          <cell r="K404" t="str">
            <v>SHALLOW</v>
          </cell>
          <cell r="L404">
            <v>1</v>
          </cell>
          <cell r="M404">
            <v>10</v>
          </cell>
        </row>
        <row r="405">
          <cell r="A405">
            <v>8</v>
          </cell>
          <cell r="B405">
            <v>2000</v>
          </cell>
          <cell r="C405">
            <v>3</v>
          </cell>
          <cell r="D405" t="str">
            <v>Production</v>
          </cell>
          <cell r="E405" t="str">
            <v>Gas</v>
          </cell>
          <cell r="F405" t="str">
            <v>Conventional</v>
          </cell>
          <cell r="G405">
            <v>0</v>
          </cell>
          <cell r="H405" t="str">
            <v>Production;Gas;Conventional</v>
          </cell>
          <cell r="I405" t="str">
            <v>Gas;Conventional;0;8</v>
          </cell>
          <cell r="J405" t="str">
            <v>BC</v>
          </cell>
          <cell r="K405" t="str">
            <v>Deep</v>
          </cell>
          <cell r="L405">
            <v>1</v>
          </cell>
          <cell r="M405">
            <v>26</v>
          </cell>
        </row>
        <row r="406">
          <cell r="A406">
            <v>8</v>
          </cell>
          <cell r="B406">
            <v>2001</v>
          </cell>
          <cell r="C406">
            <v>1</v>
          </cell>
          <cell r="D406" t="str">
            <v>Production</v>
          </cell>
          <cell r="E406" t="str">
            <v>Gas</v>
          </cell>
          <cell r="F406" t="str">
            <v>Conventional</v>
          </cell>
          <cell r="G406">
            <v>0</v>
          </cell>
          <cell r="H406" t="str">
            <v>Production;Gas;Conventional</v>
          </cell>
          <cell r="I406" t="str">
            <v>Gas;Conventional;0;8</v>
          </cell>
          <cell r="J406" t="str">
            <v>BC</v>
          </cell>
          <cell r="K406" t="str">
            <v>Deep</v>
          </cell>
          <cell r="L406">
            <v>64</v>
          </cell>
          <cell r="M406">
            <v>2183</v>
          </cell>
        </row>
        <row r="407">
          <cell r="A407">
            <v>8</v>
          </cell>
          <cell r="B407">
            <v>2001</v>
          </cell>
          <cell r="C407">
            <v>1</v>
          </cell>
          <cell r="D407" t="str">
            <v>Production</v>
          </cell>
          <cell r="E407" t="str">
            <v>Gas</v>
          </cell>
          <cell r="F407" t="str">
            <v>Conventional</v>
          </cell>
          <cell r="G407">
            <v>0</v>
          </cell>
          <cell r="H407" t="str">
            <v>Production;Gas;Conventional</v>
          </cell>
          <cell r="I407" t="str">
            <v>Gas;Conventional;0;8</v>
          </cell>
          <cell r="J407" t="str">
            <v>BC</v>
          </cell>
          <cell r="K407" t="str">
            <v>MEDIUM</v>
          </cell>
          <cell r="L407">
            <v>176</v>
          </cell>
          <cell r="M407">
            <v>2914.500004</v>
          </cell>
        </row>
        <row r="408">
          <cell r="A408">
            <v>8</v>
          </cell>
          <cell r="B408">
            <v>2001</v>
          </cell>
          <cell r="C408">
            <v>1</v>
          </cell>
          <cell r="D408" t="str">
            <v>Production</v>
          </cell>
          <cell r="E408" t="str">
            <v>Gas</v>
          </cell>
          <cell r="F408" t="str">
            <v>Conventional</v>
          </cell>
          <cell r="G408">
            <v>0</v>
          </cell>
          <cell r="H408" t="str">
            <v>Production;Gas;Conventional</v>
          </cell>
          <cell r="I408" t="str">
            <v>Gas;Conventional;0;8</v>
          </cell>
          <cell r="J408" t="str">
            <v>BC</v>
          </cell>
          <cell r="K408" t="str">
            <v>Shallow</v>
          </cell>
          <cell r="L408">
            <v>116</v>
          </cell>
          <cell r="M408">
            <v>640.58332899999994</v>
          </cell>
        </row>
        <row r="409">
          <cell r="A409">
            <v>8</v>
          </cell>
          <cell r="B409">
            <v>2001</v>
          </cell>
          <cell r="C409">
            <v>2</v>
          </cell>
          <cell r="D409" t="str">
            <v>Production</v>
          </cell>
          <cell r="E409" t="str">
            <v>Gas</v>
          </cell>
          <cell r="F409" t="str">
            <v>Conventional</v>
          </cell>
          <cell r="G409">
            <v>0</v>
          </cell>
          <cell r="H409" t="str">
            <v>Production;Gas;Conventional</v>
          </cell>
          <cell r="I409" t="str">
            <v>Gas;Conventional;0;8</v>
          </cell>
          <cell r="J409" t="str">
            <v>BC</v>
          </cell>
          <cell r="K409" t="str">
            <v>Deep</v>
          </cell>
          <cell r="L409">
            <v>1</v>
          </cell>
          <cell r="M409">
            <v>13</v>
          </cell>
        </row>
        <row r="410">
          <cell r="A410">
            <v>8</v>
          </cell>
          <cell r="B410">
            <v>2002</v>
          </cell>
          <cell r="C410">
            <v>1</v>
          </cell>
          <cell r="D410" t="str">
            <v>Production</v>
          </cell>
          <cell r="E410" t="str">
            <v>Gas</v>
          </cell>
          <cell r="F410" t="str">
            <v>Conventional</v>
          </cell>
          <cell r="G410">
            <v>0</v>
          </cell>
          <cell r="H410" t="str">
            <v>Production;Gas;Conventional</v>
          </cell>
          <cell r="I410" t="str">
            <v>Gas;Conventional;0;8</v>
          </cell>
          <cell r="J410" t="str">
            <v>BC</v>
          </cell>
          <cell r="K410" t="str">
            <v>Deep</v>
          </cell>
          <cell r="L410">
            <v>46</v>
          </cell>
          <cell r="M410">
            <v>1584.1666599999999</v>
          </cell>
        </row>
        <row r="411">
          <cell r="A411">
            <v>8</v>
          </cell>
          <cell r="B411">
            <v>2002</v>
          </cell>
          <cell r="C411">
            <v>1</v>
          </cell>
          <cell r="D411" t="str">
            <v>Production</v>
          </cell>
          <cell r="E411" t="str">
            <v>Gas</v>
          </cell>
          <cell r="F411" t="str">
            <v>Conventional</v>
          </cell>
          <cell r="G411">
            <v>0</v>
          </cell>
          <cell r="H411" t="str">
            <v>Production;Gas;Conventional</v>
          </cell>
          <cell r="I411" t="str">
            <v>Gas;Conventional;0;8</v>
          </cell>
          <cell r="J411" t="str">
            <v>BC</v>
          </cell>
          <cell r="K411" t="str">
            <v>Medium</v>
          </cell>
          <cell r="L411">
            <v>152</v>
          </cell>
          <cell r="M411">
            <v>2262.1666500000001</v>
          </cell>
        </row>
        <row r="412">
          <cell r="A412">
            <v>8</v>
          </cell>
          <cell r="B412">
            <v>2002</v>
          </cell>
          <cell r="C412">
            <v>1</v>
          </cell>
          <cell r="D412" t="str">
            <v>Production</v>
          </cell>
          <cell r="E412" t="str">
            <v>Gas</v>
          </cell>
          <cell r="F412" t="str">
            <v>Conventional</v>
          </cell>
          <cell r="G412">
            <v>0</v>
          </cell>
          <cell r="H412" t="str">
            <v>Production;Gas;Conventional</v>
          </cell>
          <cell r="I412" t="str">
            <v>Gas;Conventional;0;8</v>
          </cell>
          <cell r="J412" t="str">
            <v>BC</v>
          </cell>
          <cell r="K412" t="str">
            <v>Shallow</v>
          </cell>
          <cell r="L412">
            <v>60</v>
          </cell>
          <cell r="M412">
            <v>348</v>
          </cell>
        </row>
        <row r="413">
          <cell r="A413">
            <v>8</v>
          </cell>
          <cell r="B413">
            <v>2002</v>
          </cell>
          <cell r="C413">
            <v>2</v>
          </cell>
          <cell r="D413" t="str">
            <v>Production</v>
          </cell>
          <cell r="E413" t="str">
            <v>Gas</v>
          </cell>
          <cell r="F413" t="str">
            <v>Conventional</v>
          </cell>
          <cell r="G413">
            <v>0</v>
          </cell>
          <cell r="H413" t="str">
            <v>Production;Gas;Conventional</v>
          </cell>
          <cell r="I413" t="str">
            <v>Gas;Conventional;0;8</v>
          </cell>
          <cell r="J413" t="str">
            <v>BC</v>
          </cell>
          <cell r="K413" t="str">
            <v>Medium</v>
          </cell>
          <cell r="L413">
            <v>2</v>
          </cell>
          <cell r="M413">
            <v>24</v>
          </cell>
        </row>
        <row r="414">
          <cell r="A414">
            <v>8</v>
          </cell>
          <cell r="B414">
            <v>2002</v>
          </cell>
          <cell r="C414">
            <v>3</v>
          </cell>
          <cell r="D414" t="str">
            <v>Production</v>
          </cell>
          <cell r="E414" t="str">
            <v>Gas</v>
          </cell>
          <cell r="F414" t="str">
            <v>Conventional</v>
          </cell>
          <cell r="G414">
            <v>0</v>
          </cell>
          <cell r="H414" t="str">
            <v>Production;Gas;Conventional</v>
          </cell>
          <cell r="I414" t="str">
            <v>Gas;Conventional;0;8</v>
          </cell>
          <cell r="J414" t="str">
            <v>BC</v>
          </cell>
          <cell r="K414" t="str">
            <v>Medium</v>
          </cell>
          <cell r="L414">
            <v>1</v>
          </cell>
          <cell r="M414">
            <v>14</v>
          </cell>
        </row>
        <row r="415">
          <cell r="A415">
            <v>8</v>
          </cell>
          <cell r="B415">
            <v>2003</v>
          </cell>
          <cell r="C415">
            <v>1</v>
          </cell>
          <cell r="D415" t="str">
            <v>Production</v>
          </cell>
          <cell r="E415" t="str">
            <v>Gas</v>
          </cell>
          <cell r="F415" t="str">
            <v>Conventional</v>
          </cell>
          <cell r="G415">
            <v>0</v>
          </cell>
          <cell r="H415" t="str">
            <v>Production;Gas;Conventional</v>
          </cell>
          <cell r="I415" t="str">
            <v>Gas;Conventional;0;8</v>
          </cell>
          <cell r="J415" t="str">
            <v>BC</v>
          </cell>
          <cell r="K415" t="str">
            <v>Deep</v>
          </cell>
          <cell r="L415">
            <v>54</v>
          </cell>
          <cell r="M415">
            <v>2196.5</v>
          </cell>
        </row>
        <row r="416">
          <cell r="A416">
            <v>8</v>
          </cell>
          <cell r="B416">
            <v>2003</v>
          </cell>
          <cell r="C416">
            <v>1</v>
          </cell>
          <cell r="D416" t="str">
            <v>Production</v>
          </cell>
          <cell r="E416" t="str">
            <v>Gas</v>
          </cell>
          <cell r="F416" t="str">
            <v>Conventional</v>
          </cell>
          <cell r="G416">
            <v>0</v>
          </cell>
          <cell r="H416" t="str">
            <v>Production;Gas;Conventional</v>
          </cell>
          <cell r="I416" t="str">
            <v>Gas;Conventional;0;8</v>
          </cell>
          <cell r="J416" t="str">
            <v>BC</v>
          </cell>
          <cell r="K416" t="str">
            <v>Medium</v>
          </cell>
          <cell r="L416">
            <v>231</v>
          </cell>
          <cell r="M416">
            <v>3521.1666700000001</v>
          </cell>
        </row>
        <row r="417">
          <cell r="A417">
            <v>8</v>
          </cell>
          <cell r="B417">
            <v>2003</v>
          </cell>
          <cell r="C417">
            <v>1</v>
          </cell>
          <cell r="D417" t="str">
            <v>Production</v>
          </cell>
          <cell r="E417" t="str">
            <v>Gas</v>
          </cell>
          <cell r="F417" t="str">
            <v>Conventional</v>
          </cell>
          <cell r="G417">
            <v>0</v>
          </cell>
          <cell r="H417" t="str">
            <v>Production;Gas;Conventional</v>
          </cell>
          <cell r="I417" t="str">
            <v>Gas;Conventional;0;8</v>
          </cell>
          <cell r="J417" t="str">
            <v>BC</v>
          </cell>
          <cell r="K417" t="str">
            <v>Shallow</v>
          </cell>
          <cell r="L417">
            <v>99</v>
          </cell>
          <cell r="M417">
            <v>752.34999900000003</v>
          </cell>
        </row>
        <row r="418">
          <cell r="A418">
            <v>8</v>
          </cell>
          <cell r="B418">
            <v>2003</v>
          </cell>
          <cell r="C418">
            <v>2</v>
          </cell>
          <cell r="D418" t="str">
            <v>Production</v>
          </cell>
          <cell r="E418" t="str">
            <v>Gas</v>
          </cell>
          <cell r="F418" t="str">
            <v>Conventional</v>
          </cell>
          <cell r="G418">
            <v>0</v>
          </cell>
          <cell r="H418" t="str">
            <v>Production;Gas;Conventional</v>
          </cell>
          <cell r="I418" t="str">
            <v>Gas;Conventional;0;8</v>
          </cell>
          <cell r="J418" t="str">
            <v>BC</v>
          </cell>
          <cell r="K418" t="str">
            <v>Deep</v>
          </cell>
          <cell r="L418">
            <v>1</v>
          </cell>
          <cell r="M418">
            <v>33.5</v>
          </cell>
        </row>
        <row r="419">
          <cell r="A419">
            <v>8</v>
          </cell>
          <cell r="B419">
            <v>2003</v>
          </cell>
          <cell r="C419">
            <v>2</v>
          </cell>
          <cell r="D419" t="str">
            <v>Production</v>
          </cell>
          <cell r="E419" t="str">
            <v>Gas</v>
          </cell>
          <cell r="F419" t="str">
            <v>Conventional</v>
          </cell>
          <cell r="G419">
            <v>0</v>
          </cell>
          <cell r="H419" t="str">
            <v>Production;Gas;Conventional</v>
          </cell>
          <cell r="I419" t="str">
            <v>Gas;Conventional;0;8</v>
          </cell>
          <cell r="J419" t="str">
            <v>BC</v>
          </cell>
          <cell r="K419" t="str">
            <v>Medium</v>
          </cell>
          <cell r="L419">
            <v>4</v>
          </cell>
          <cell r="M419">
            <v>57</v>
          </cell>
        </row>
        <row r="420">
          <cell r="A420">
            <v>8</v>
          </cell>
          <cell r="B420">
            <v>2003</v>
          </cell>
          <cell r="C420">
            <v>3</v>
          </cell>
          <cell r="D420" t="str">
            <v>Production</v>
          </cell>
          <cell r="E420" t="str">
            <v>Gas</v>
          </cell>
          <cell r="F420" t="str">
            <v>Conventional</v>
          </cell>
          <cell r="G420">
            <v>0</v>
          </cell>
          <cell r="H420" t="str">
            <v>Production;Gas;Conventional</v>
          </cell>
          <cell r="I420" t="str">
            <v>Gas;Conventional;0;8</v>
          </cell>
          <cell r="J420" t="str">
            <v>BC</v>
          </cell>
          <cell r="K420" t="str">
            <v>Deep</v>
          </cell>
          <cell r="L420">
            <v>1</v>
          </cell>
          <cell r="M420">
            <v>43</v>
          </cell>
        </row>
        <row r="421">
          <cell r="A421">
            <v>8</v>
          </cell>
          <cell r="B421">
            <v>2004</v>
          </cell>
          <cell r="C421">
            <v>1</v>
          </cell>
          <cell r="D421" t="str">
            <v>Production</v>
          </cell>
          <cell r="E421" t="str">
            <v>Gas</v>
          </cell>
          <cell r="F421" t="str">
            <v>Conventional</v>
          </cell>
          <cell r="G421">
            <v>0</v>
          </cell>
          <cell r="H421" t="str">
            <v>Production;Gas;Conventional</v>
          </cell>
          <cell r="I421" t="str">
            <v>Gas;Conventional;0;8</v>
          </cell>
          <cell r="J421" t="str">
            <v>BC</v>
          </cell>
          <cell r="K421" t="str">
            <v>Deep</v>
          </cell>
          <cell r="L421">
            <v>70</v>
          </cell>
          <cell r="M421">
            <v>2974</v>
          </cell>
        </row>
        <row r="422">
          <cell r="A422">
            <v>8</v>
          </cell>
          <cell r="B422">
            <v>2004</v>
          </cell>
          <cell r="C422">
            <v>1</v>
          </cell>
          <cell r="D422" t="str">
            <v>Production</v>
          </cell>
          <cell r="E422" t="str">
            <v>Gas</v>
          </cell>
          <cell r="F422" t="str">
            <v>Conventional</v>
          </cell>
          <cell r="G422">
            <v>0</v>
          </cell>
          <cell r="H422" t="str">
            <v>Production;Gas;Conventional</v>
          </cell>
          <cell r="I422" t="str">
            <v>Gas;Conventional;0;8</v>
          </cell>
          <cell r="J422" t="str">
            <v>BC</v>
          </cell>
          <cell r="K422" t="str">
            <v>Medium</v>
          </cell>
          <cell r="L422">
            <v>280</v>
          </cell>
          <cell r="M422">
            <v>4246.0000030000001</v>
          </cell>
        </row>
        <row r="423">
          <cell r="A423">
            <v>8</v>
          </cell>
          <cell r="B423">
            <v>2004</v>
          </cell>
          <cell r="C423">
            <v>1</v>
          </cell>
          <cell r="D423" t="str">
            <v>Production</v>
          </cell>
          <cell r="E423" t="str">
            <v>Gas</v>
          </cell>
          <cell r="F423" t="str">
            <v>Conventional</v>
          </cell>
          <cell r="G423">
            <v>0</v>
          </cell>
          <cell r="H423" t="str">
            <v>Production;Gas;Conventional</v>
          </cell>
          <cell r="I423" t="str">
            <v>Gas;Conventional;0;8</v>
          </cell>
          <cell r="J423" t="str">
            <v>BC</v>
          </cell>
          <cell r="K423" t="str">
            <v>SHALLOW</v>
          </cell>
          <cell r="L423">
            <v>241</v>
          </cell>
          <cell r="M423">
            <v>1264.6602597999999</v>
          </cell>
        </row>
        <row r="424">
          <cell r="A424">
            <v>8</v>
          </cell>
          <cell r="B424">
            <v>2004</v>
          </cell>
          <cell r="C424">
            <v>2</v>
          </cell>
          <cell r="D424" t="str">
            <v>Production</v>
          </cell>
          <cell r="E424" t="str">
            <v>Gas</v>
          </cell>
          <cell r="F424" t="str">
            <v>Conventional</v>
          </cell>
          <cell r="G424">
            <v>0</v>
          </cell>
          <cell r="H424" t="str">
            <v>Production;Gas;Conventional</v>
          </cell>
          <cell r="I424" t="str">
            <v>Gas;Conventional;0;8</v>
          </cell>
          <cell r="J424" t="str">
            <v>BC</v>
          </cell>
          <cell r="K424" t="str">
            <v>Deep</v>
          </cell>
          <cell r="L424">
            <v>1</v>
          </cell>
          <cell r="M424">
            <v>51</v>
          </cell>
        </row>
        <row r="425">
          <cell r="A425">
            <v>8</v>
          </cell>
          <cell r="B425">
            <v>2004</v>
          </cell>
          <cell r="C425">
            <v>2</v>
          </cell>
          <cell r="D425" t="str">
            <v>Production</v>
          </cell>
          <cell r="E425" t="str">
            <v>Gas</v>
          </cell>
          <cell r="F425" t="str">
            <v>Conventional</v>
          </cell>
          <cell r="G425">
            <v>0</v>
          </cell>
          <cell r="H425" t="str">
            <v>Production;Gas;Conventional</v>
          </cell>
          <cell r="I425" t="str">
            <v>Gas;Conventional;0;8</v>
          </cell>
          <cell r="J425" t="str">
            <v>BC</v>
          </cell>
          <cell r="K425" t="str">
            <v>Medium</v>
          </cell>
          <cell r="L425">
            <v>1</v>
          </cell>
          <cell r="M425">
            <v>16</v>
          </cell>
        </row>
        <row r="426">
          <cell r="A426">
            <v>8</v>
          </cell>
          <cell r="B426">
            <v>2004</v>
          </cell>
          <cell r="C426">
            <v>2</v>
          </cell>
          <cell r="D426" t="str">
            <v>Production</v>
          </cell>
          <cell r="E426" t="str">
            <v>Gas</v>
          </cell>
          <cell r="F426" t="str">
            <v>Conventional</v>
          </cell>
          <cell r="G426">
            <v>0</v>
          </cell>
          <cell r="H426" t="str">
            <v>Production;Gas;Conventional</v>
          </cell>
          <cell r="I426" t="str">
            <v>Gas;Conventional;0;8</v>
          </cell>
          <cell r="J426" t="str">
            <v>BC</v>
          </cell>
          <cell r="K426" t="str">
            <v>Shallow</v>
          </cell>
          <cell r="L426">
            <v>1</v>
          </cell>
          <cell r="M426">
            <v>13</v>
          </cell>
        </row>
        <row r="427">
          <cell r="A427">
            <v>8</v>
          </cell>
          <cell r="B427">
            <v>2005</v>
          </cell>
          <cell r="C427">
            <v>1</v>
          </cell>
          <cell r="D427" t="str">
            <v>Production</v>
          </cell>
          <cell r="E427" t="str">
            <v>Gas</v>
          </cell>
          <cell r="F427" t="str">
            <v>Conventional</v>
          </cell>
          <cell r="G427">
            <v>0</v>
          </cell>
          <cell r="H427" t="str">
            <v>Production;Gas;Conventional</v>
          </cell>
          <cell r="I427" t="str">
            <v>Gas;Conventional;0;8</v>
          </cell>
          <cell r="J427" t="str">
            <v>BC</v>
          </cell>
          <cell r="K427" t="str">
            <v>Deep</v>
          </cell>
          <cell r="L427">
            <v>109</v>
          </cell>
          <cell r="M427">
            <v>3656</v>
          </cell>
        </row>
        <row r="428">
          <cell r="A428">
            <v>8</v>
          </cell>
          <cell r="B428">
            <v>2005</v>
          </cell>
          <cell r="C428">
            <v>1</v>
          </cell>
          <cell r="D428" t="str">
            <v>Production</v>
          </cell>
          <cell r="E428" t="str">
            <v>Gas</v>
          </cell>
          <cell r="F428" t="str">
            <v>Conventional</v>
          </cell>
          <cell r="G428">
            <v>0</v>
          </cell>
          <cell r="H428" t="str">
            <v>Production;Gas;Conventional</v>
          </cell>
          <cell r="I428" t="str">
            <v>Gas;Conventional;0;8</v>
          </cell>
          <cell r="J428" t="str">
            <v>BC</v>
          </cell>
          <cell r="K428" t="str">
            <v>Medium</v>
          </cell>
          <cell r="L428">
            <v>312</v>
          </cell>
          <cell r="M428">
            <v>5290.489287800001</v>
          </cell>
        </row>
        <row r="429">
          <cell r="A429">
            <v>8</v>
          </cell>
          <cell r="B429">
            <v>2005</v>
          </cell>
          <cell r="C429">
            <v>1</v>
          </cell>
          <cell r="D429" t="str">
            <v>Production</v>
          </cell>
          <cell r="E429" t="str">
            <v>Gas</v>
          </cell>
          <cell r="F429" t="str">
            <v>Conventional</v>
          </cell>
          <cell r="G429">
            <v>0</v>
          </cell>
          <cell r="H429" t="str">
            <v>Production;Gas;Conventional</v>
          </cell>
          <cell r="I429" t="str">
            <v>Gas;Conventional;0;8</v>
          </cell>
          <cell r="J429" t="str">
            <v>BC</v>
          </cell>
          <cell r="K429" t="str">
            <v>Shallow</v>
          </cell>
          <cell r="L429">
            <v>307</v>
          </cell>
          <cell r="M429">
            <v>1733.2452401999997</v>
          </cell>
        </row>
        <row r="430">
          <cell r="A430">
            <v>8</v>
          </cell>
          <cell r="B430">
            <v>2005</v>
          </cell>
          <cell r="C430">
            <v>2</v>
          </cell>
          <cell r="D430" t="str">
            <v>Production</v>
          </cell>
          <cell r="E430" t="str">
            <v>Gas</v>
          </cell>
          <cell r="F430" t="str">
            <v>Conventional</v>
          </cell>
          <cell r="G430">
            <v>0</v>
          </cell>
          <cell r="H430" t="str">
            <v>Production;Gas;Conventional</v>
          </cell>
          <cell r="I430" t="str">
            <v>Gas;Conventional;0;8</v>
          </cell>
          <cell r="J430" t="str">
            <v>BC</v>
          </cell>
          <cell r="K430" t="str">
            <v>Deep</v>
          </cell>
          <cell r="L430">
            <v>1</v>
          </cell>
          <cell r="M430">
            <v>34</v>
          </cell>
        </row>
        <row r="431">
          <cell r="A431">
            <v>8</v>
          </cell>
          <cell r="B431">
            <v>2005</v>
          </cell>
          <cell r="C431">
            <v>2</v>
          </cell>
          <cell r="D431" t="str">
            <v>Production</v>
          </cell>
          <cell r="E431" t="str">
            <v>Gas</v>
          </cell>
          <cell r="F431" t="str">
            <v>Conventional</v>
          </cell>
          <cell r="G431">
            <v>0</v>
          </cell>
          <cell r="H431" t="str">
            <v>Production;Gas;Conventional</v>
          </cell>
          <cell r="I431" t="str">
            <v>Gas;Conventional;0;8</v>
          </cell>
          <cell r="J431" t="str">
            <v>BC</v>
          </cell>
          <cell r="K431" t="str">
            <v>Medium</v>
          </cell>
          <cell r="L431">
            <v>1</v>
          </cell>
          <cell r="M431">
            <v>15</v>
          </cell>
        </row>
        <row r="432">
          <cell r="A432">
            <v>8</v>
          </cell>
          <cell r="B432">
            <v>2006</v>
          </cell>
          <cell r="C432">
            <v>1</v>
          </cell>
          <cell r="D432" t="str">
            <v>Production</v>
          </cell>
          <cell r="E432" t="str">
            <v>Gas</v>
          </cell>
          <cell r="F432" t="str">
            <v>Conventional</v>
          </cell>
          <cell r="G432">
            <v>0</v>
          </cell>
          <cell r="H432" t="str">
            <v>Production;Gas;Conventional</v>
          </cell>
          <cell r="I432" t="str">
            <v>Gas;Conventional;0;8</v>
          </cell>
          <cell r="J432" t="str">
            <v>BC</v>
          </cell>
          <cell r="K432" t="str">
            <v>Deep</v>
          </cell>
          <cell r="L432">
            <v>132</v>
          </cell>
          <cell r="M432">
            <v>4448</v>
          </cell>
        </row>
        <row r="433">
          <cell r="A433">
            <v>8</v>
          </cell>
          <cell r="B433">
            <v>2006</v>
          </cell>
          <cell r="C433">
            <v>1</v>
          </cell>
          <cell r="D433" t="str">
            <v>Production</v>
          </cell>
          <cell r="E433" t="str">
            <v>Gas</v>
          </cell>
          <cell r="F433" t="str">
            <v>Conventional</v>
          </cell>
          <cell r="G433">
            <v>0</v>
          </cell>
          <cell r="H433" t="str">
            <v>Production;Gas;Conventional</v>
          </cell>
          <cell r="I433" t="str">
            <v>Gas;Conventional;0;8</v>
          </cell>
          <cell r="J433" t="str">
            <v>BC</v>
          </cell>
          <cell r="K433" t="str">
            <v>Medium</v>
          </cell>
          <cell r="L433">
            <v>228</v>
          </cell>
          <cell r="M433">
            <v>3725.1934796</v>
          </cell>
        </row>
        <row r="434">
          <cell r="A434">
            <v>8</v>
          </cell>
          <cell r="B434">
            <v>2006</v>
          </cell>
          <cell r="C434">
            <v>1</v>
          </cell>
          <cell r="D434" t="str">
            <v>Production</v>
          </cell>
          <cell r="E434" t="str">
            <v>Gas</v>
          </cell>
          <cell r="F434" t="str">
            <v>Conventional</v>
          </cell>
          <cell r="G434">
            <v>0</v>
          </cell>
          <cell r="H434" t="str">
            <v>Production;Gas;Conventional</v>
          </cell>
          <cell r="I434" t="str">
            <v>Gas;Conventional;0;8</v>
          </cell>
          <cell r="J434" t="str">
            <v>BC</v>
          </cell>
          <cell r="K434" t="str">
            <v>Shallow</v>
          </cell>
          <cell r="L434">
            <v>231</v>
          </cell>
          <cell r="M434">
            <v>1454.2758142</v>
          </cell>
        </row>
        <row r="435">
          <cell r="A435">
            <v>8</v>
          </cell>
          <cell r="B435">
            <v>2006</v>
          </cell>
          <cell r="C435">
            <v>3</v>
          </cell>
          <cell r="D435" t="str">
            <v>Production</v>
          </cell>
          <cell r="E435" t="str">
            <v>Gas</v>
          </cell>
          <cell r="F435" t="str">
            <v>Conventional</v>
          </cell>
          <cell r="G435">
            <v>0</v>
          </cell>
          <cell r="H435" t="str">
            <v>Production;Gas;Conventional</v>
          </cell>
          <cell r="I435" t="str">
            <v>Gas;Conventional;0;8</v>
          </cell>
          <cell r="J435" t="str">
            <v>BC</v>
          </cell>
          <cell r="K435" t="str">
            <v>Medium</v>
          </cell>
          <cell r="L435">
            <v>1</v>
          </cell>
          <cell r="M435">
            <v>15</v>
          </cell>
        </row>
        <row r="436">
          <cell r="A436">
            <v>8</v>
          </cell>
          <cell r="B436">
            <v>2007</v>
          </cell>
          <cell r="C436">
            <v>1</v>
          </cell>
          <cell r="D436" t="str">
            <v>Production</v>
          </cell>
          <cell r="E436" t="str">
            <v>Gas</v>
          </cell>
          <cell r="F436" t="str">
            <v>Conventional</v>
          </cell>
          <cell r="G436">
            <v>0</v>
          </cell>
          <cell r="H436" t="str">
            <v>Production;Gas;Conventional</v>
          </cell>
          <cell r="I436" t="str">
            <v>Gas;Conventional;0;8</v>
          </cell>
          <cell r="J436" t="str">
            <v>BC</v>
          </cell>
          <cell r="K436" t="str">
            <v>Deep</v>
          </cell>
          <cell r="L436">
            <v>13</v>
          </cell>
          <cell r="M436">
            <v>327</v>
          </cell>
        </row>
        <row r="437">
          <cell r="A437">
            <v>8</v>
          </cell>
          <cell r="B437">
            <v>2007</v>
          </cell>
          <cell r="C437">
            <v>1</v>
          </cell>
          <cell r="D437" t="str">
            <v>Production</v>
          </cell>
          <cell r="E437" t="str">
            <v>Gas</v>
          </cell>
          <cell r="F437" t="str">
            <v>Conventional</v>
          </cell>
          <cell r="G437">
            <v>0</v>
          </cell>
          <cell r="H437" t="str">
            <v>Production;Gas;Conventional</v>
          </cell>
          <cell r="I437" t="str">
            <v>Gas;Conventional;0;8</v>
          </cell>
          <cell r="J437" t="str">
            <v>BC</v>
          </cell>
          <cell r="K437" t="str">
            <v>Medium</v>
          </cell>
          <cell r="L437">
            <v>38</v>
          </cell>
          <cell r="M437">
            <v>380.5</v>
          </cell>
        </row>
        <row r="438">
          <cell r="A438">
            <v>8</v>
          </cell>
          <cell r="B438">
            <v>2007</v>
          </cell>
          <cell r="C438">
            <v>1</v>
          </cell>
          <cell r="D438" t="str">
            <v>Production</v>
          </cell>
          <cell r="E438" t="str">
            <v>Gas</v>
          </cell>
          <cell r="F438" t="str">
            <v>Conventional</v>
          </cell>
          <cell r="G438">
            <v>0</v>
          </cell>
          <cell r="H438" t="str">
            <v>Production;Gas;Conventional</v>
          </cell>
          <cell r="I438" t="str">
            <v>Gas;Conventional;0;8</v>
          </cell>
          <cell r="J438" t="str">
            <v>BC</v>
          </cell>
          <cell r="K438" t="str">
            <v>Shallow</v>
          </cell>
          <cell r="L438">
            <v>32</v>
          </cell>
          <cell r="M438">
            <v>179.5</v>
          </cell>
        </row>
        <row r="439">
          <cell r="A439">
            <v>9</v>
          </cell>
          <cell r="B439">
            <v>2000</v>
          </cell>
          <cell r="C439">
            <v>1</v>
          </cell>
          <cell r="D439" t="str">
            <v>Production</v>
          </cell>
          <cell r="E439" t="str">
            <v>Gas</v>
          </cell>
          <cell r="F439" t="str">
            <v>Conventional</v>
          </cell>
          <cell r="G439">
            <v>0</v>
          </cell>
          <cell r="H439" t="str">
            <v>Production;Gas;Conventional</v>
          </cell>
          <cell r="I439" t="str">
            <v>Gas;Conventional;0;9</v>
          </cell>
          <cell r="J439" t="str">
            <v>BC</v>
          </cell>
          <cell r="K439" t="str">
            <v>Deep</v>
          </cell>
          <cell r="L439">
            <v>18</v>
          </cell>
          <cell r="M439">
            <v>915.5</v>
          </cell>
        </row>
        <row r="440">
          <cell r="A440">
            <v>9</v>
          </cell>
          <cell r="B440">
            <v>2000</v>
          </cell>
          <cell r="C440">
            <v>1</v>
          </cell>
          <cell r="D440" t="str">
            <v>Production</v>
          </cell>
          <cell r="E440" t="str">
            <v>Gas</v>
          </cell>
          <cell r="F440" t="str">
            <v>Conventional</v>
          </cell>
          <cell r="G440">
            <v>0</v>
          </cell>
          <cell r="H440" t="str">
            <v>Production;Gas;Conventional</v>
          </cell>
          <cell r="I440" t="str">
            <v>Gas;Conventional;0;9</v>
          </cell>
          <cell r="J440" t="str">
            <v>BC</v>
          </cell>
          <cell r="K440" t="str">
            <v>Medium</v>
          </cell>
          <cell r="L440">
            <v>91</v>
          </cell>
          <cell r="M440">
            <v>2211.916706</v>
          </cell>
        </row>
        <row r="441">
          <cell r="A441">
            <v>9</v>
          </cell>
          <cell r="B441">
            <v>2000</v>
          </cell>
          <cell r="C441">
            <v>1</v>
          </cell>
          <cell r="D441" t="str">
            <v>Production</v>
          </cell>
          <cell r="E441" t="str">
            <v>Gas</v>
          </cell>
          <cell r="F441" t="str">
            <v>Conventional</v>
          </cell>
          <cell r="G441">
            <v>0</v>
          </cell>
          <cell r="H441" t="str">
            <v>Production;Gas;Conventional</v>
          </cell>
          <cell r="I441" t="str">
            <v>Gas;Conventional;0;9</v>
          </cell>
          <cell r="J441" t="str">
            <v>BC</v>
          </cell>
          <cell r="K441" t="str">
            <v>Shallow</v>
          </cell>
          <cell r="L441">
            <v>27</v>
          </cell>
          <cell r="M441">
            <v>278.68124499999993</v>
          </cell>
        </row>
        <row r="442">
          <cell r="A442">
            <v>9</v>
          </cell>
          <cell r="B442">
            <v>2000</v>
          </cell>
          <cell r="C442">
            <v>2</v>
          </cell>
          <cell r="D442" t="str">
            <v>Production</v>
          </cell>
          <cell r="E442" t="str">
            <v>Gas</v>
          </cell>
          <cell r="F442" t="str">
            <v>Conventional</v>
          </cell>
          <cell r="G442">
            <v>0</v>
          </cell>
          <cell r="H442" t="str">
            <v>Production;Gas;Conventional</v>
          </cell>
          <cell r="I442" t="str">
            <v>Gas;Conventional;0;9</v>
          </cell>
          <cell r="J442" t="str">
            <v>BC</v>
          </cell>
          <cell r="K442" t="str">
            <v>Deep</v>
          </cell>
          <cell r="L442">
            <v>1</v>
          </cell>
          <cell r="M442">
            <v>7</v>
          </cell>
        </row>
        <row r="443">
          <cell r="A443">
            <v>9</v>
          </cell>
          <cell r="B443">
            <v>2000</v>
          </cell>
          <cell r="C443">
            <v>2</v>
          </cell>
          <cell r="D443" t="str">
            <v>Production</v>
          </cell>
          <cell r="E443" t="str">
            <v>Gas</v>
          </cell>
          <cell r="F443" t="str">
            <v>Conventional</v>
          </cell>
          <cell r="G443">
            <v>0</v>
          </cell>
          <cell r="H443" t="str">
            <v>Production;Gas;Conventional</v>
          </cell>
          <cell r="I443" t="str">
            <v>Gas;Conventional;0;9</v>
          </cell>
          <cell r="J443" t="str">
            <v>BC</v>
          </cell>
          <cell r="K443" t="str">
            <v>Medium</v>
          </cell>
          <cell r="L443">
            <v>1</v>
          </cell>
          <cell r="M443">
            <v>13</v>
          </cell>
        </row>
        <row r="444">
          <cell r="A444">
            <v>9</v>
          </cell>
          <cell r="B444">
            <v>2000</v>
          </cell>
          <cell r="C444">
            <v>2</v>
          </cell>
          <cell r="D444" t="str">
            <v>Production</v>
          </cell>
          <cell r="E444" t="str">
            <v>Gas</v>
          </cell>
          <cell r="F444" t="str">
            <v>Conventional</v>
          </cell>
          <cell r="G444">
            <v>0</v>
          </cell>
          <cell r="H444" t="str">
            <v>Production;Gas;Conventional</v>
          </cell>
          <cell r="I444" t="str">
            <v>Gas;Conventional;0;9</v>
          </cell>
          <cell r="J444" t="str">
            <v>BC</v>
          </cell>
          <cell r="K444" t="str">
            <v>Shallow</v>
          </cell>
          <cell r="L444">
            <v>1</v>
          </cell>
          <cell r="M444">
            <v>3</v>
          </cell>
        </row>
        <row r="445">
          <cell r="A445">
            <v>9</v>
          </cell>
          <cell r="B445">
            <v>2001</v>
          </cell>
          <cell r="C445">
            <v>1</v>
          </cell>
          <cell r="D445" t="str">
            <v>Production</v>
          </cell>
          <cell r="E445" t="str">
            <v>Gas</v>
          </cell>
          <cell r="F445" t="str">
            <v>Conventional</v>
          </cell>
          <cell r="G445">
            <v>0</v>
          </cell>
          <cell r="H445" t="str">
            <v>Production;Gas;Conventional</v>
          </cell>
          <cell r="I445" t="str">
            <v>Gas;Conventional;0;9</v>
          </cell>
          <cell r="J445" t="str">
            <v>BC</v>
          </cell>
          <cell r="K445" t="str">
            <v>Deep</v>
          </cell>
          <cell r="L445">
            <v>41</v>
          </cell>
          <cell r="M445">
            <v>2087.416667</v>
          </cell>
        </row>
        <row r="446">
          <cell r="A446">
            <v>9</v>
          </cell>
          <cell r="B446">
            <v>2001</v>
          </cell>
          <cell r="C446">
            <v>1</v>
          </cell>
          <cell r="D446" t="str">
            <v>Production</v>
          </cell>
          <cell r="E446" t="str">
            <v>Gas</v>
          </cell>
          <cell r="F446" t="str">
            <v>Conventional</v>
          </cell>
          <cell r="G446">
            <v>0</v>
          </cell>
          <cell r="H446" t="str">
            <v>Production;Gas;Conventional</v>
          </cell>
          <cell r="I446" t="str">
            <v>Gas;Conventional;0;9</v>
          </cell>
          <cell r="J446" t="str">
            <v>BC</v>
          </cell>
          <cell r="K446" t="str">
            <v>MEDIUM</v>
          </cell>
          <cell r="L446">
            <v>103</v>
          </cell>
          <cell r="M446">
            <v>2694.499953</v>
          </cell>
        </row>
        <row r="447">
          <cell r="A447">
            <v>9</v>
          </cell>
          <cell r="B447">
            <v>2001</v>
          </cell>
          <cell r="C447">
            <v>1</v>
          </cell>
          <cell r="D447" t="str">
            <v>Production</v>
          </cell>
          <cell r="E447" t="str">
            <v>Gas</v>
          </cell>
          <cell r="F447" t="str">
            <v>Conventional</v>
          </cell>
          <cell r="G447">
            <v>0</v>
          </cell>
          <cell r="H447" t="str">
            <v>Production;Gas;Conventional</v>
          </cell>
          <cell r="I447" t="str">
            <v>Gas;Conventional;0;9</v>
          </cell>
          <cell r="J447" t="str">
            <v>BC</v>
          </cell>
          <cell r="K447" t="str">
            <v>SHALLOW</v>
          </cell>
          <cell r="L447">
            <v>49</v>
          </cell>
          <cell r="M447">
            <v>753.57988369999998</v>
          </cell>
        </row>
        <row r="448">
          <cell r="A448">
            <v>9</v>
          </cell>
          <cell r="B448">
            <v>2001</v>
          </cell>
          <cell r="C448">
            <v>2</v>
          </cell>
          <cell r="D448" t="str">
            <v>Production</v>
          </cell>
          <cell r="E448" t="str">
            <v>Gas</v>
          </cell>
          <cell r="F448" t="str">
            <v>Conventional</v>
          </cell>
          <cell r="G448">
            <v>0</v>
          </cell>
          <cell r="H448" t="str">
            <v>Production;Gas;Conventional</v>
          </cell>
          <cell r="I448" t="str">
            <v>Gas;Conventional;0;9</v>
          </cell>
          <cell r="J448" t="str">
            <v>BC</v>
          </cell>
          <cell r="K448" t="str">
            <v>Medium</v>
          </cell>
          <cell r="L448">
            <v>2</v>
          </cell>
          <cell r="M448">
            <v>45</v>
          </cell>
        </row>
        <row r="449">
          <cell r="A449">
            <v>9</v>
          </cell>
          <cell r="B449">
            <v>2002</v>
          </cell>
          <cell r="C449">
            <v>1</v>
          </cell>
          <cell r="D449" t="str">
            <v>Production</v>
          </cell>
          <cell r="E449" t="str">
            <v>Gas</v>
          </cell>
          <cell r="F449" t="str">
            <v>Conventional</v>
          </cell>
          <cell r="G449">
            <v>0</v>
          </cell>
          <cell r="H449" t="str">
            <v>Production;Gas;Conventional</v>
          </cell>
          <cell r="I449" t="str">
            <v>Gas;Conventional;0;9</v>
          </cell>
          <cell r="J449" t="str">
            <v>BC</v>
          </cell>
          <cell r="K449" t="str">
            <v>DEEP</v>
          </cell>
          <cell r="L449">
            <v>30</v>
          </cell>
          <cell r="M449">
            <v>1393.833333</v>
          </cell>
        </row>
        <row r="450">
          <cell r="A450">
            <v>9</v>
          </cell>
          <cell r="B450">
            <v>2002</v>
          </cell>
          <cell r="C450">
            <v>1</v>
          </cell>
          <cell r="D450" t="str">
            <v>Production</v>
          </cell>
          <cell r="E450" t="str">
            <v>Gas</v>
          </cell>
          <cell r="F450" t="str">
            <v>Conventional</v>
          </cell>
          <cell r="G450">
            <v>0</v>
          </cell>
          <cell r="H450" t="str">
            <v>Production;Gas;Conventional</v>
          </cell>
          <cell r="I450" t="str">
            <v>Gas;Conventional;0;9</v>
          </cell>
          <cell r="J450" t="str">
            <v>BC</v>
          </cell>
          <cell r="K450" t="str">
            <v>Medium</v>
          </cell>
          <cell r="L450">
            <v>88</v>
          </cell>
          <cell r="M450">
            <v>1941.6666939999998</v>
          </cell>
        </row>
        <row r="451">
          <cell r="A451">
            <v>9</v>
          </cell>
          <cell r="B451">
            <v>2002</v>
          </cell>
          <cell r="C451">
            <v>1</v>
          </cell>
          <cell r="D451" t="str">
            <v>Production</v>
          </cell>
          <cell r="E451" t="str">
            <v>Gas</v>
          </cell>
          <cell r="F451" t="str">
            <v>Conventional</v>
          </cell>
          <cell r="G451">
            <v>0</v>
          </cell>
          <cell r="H451" t="str">
            <v>Production;Gas;Conventional</v>
          </cell>
          <cell r="I451" t="str">
            <v>Gas;Conventional;0;9</v>
          </cell>
          <cell r="J451" t="str">
            <v>BC</v>
          </cell>
          <cell r="K451" t="str">
            <v>Shallow</v>
          </cell>
          <cell r="L451">
            <v>22</v>
          </cell>
          <cell r="M451">
            <v>105</v>
          </cell>
        </row>
        <row r="452">
          <cell r="A452">
            <v>9</v>
          </cell>
          <cell r="B452">
            <v>2002</v>
          </cell>
          <cell r="C452">
            <v>2</v>
          </cell>
          <cell r="D452" t="str">
            <v>Production</v>
          </cell>
          <cell r="E452" t="str">
            <v>Gas</v>
          </cell>
          <cell r="F452" t="str">
            <v>Conventional</v>
          </cell>
          <cell r="G452">
            <v>0</v>
          </cell>
          <cell r="H452" t="str">
            <v>Production;Gas;Conventional</v>
          </cell>
          <cell r="I452" t="str">
            <v>Gas;Conventional;0;9</v>
          </cell>
          <cell r="J452" t="str">
            <v>BC</v>
          </cell>
          <cell r="K452" t="str">
            <v>Medium</v>
          </cell>
          <cell r="L452">
            <v>2</v>
          </cell>
          <cell r="M452">
            <v>36</v>
          </cell>
        </row>
        <row r="453">
          <cell r="A453">
            <v>9</v>
          </cell>
          <cell r="B453">
            <v>2003</v>
          </cell>
          <cell r="C453">
            <v>1</v>
          </cell>
          <cell r="D453" t="str">
            <v>Production</v>
          </cell>
          <cell r="E453" t="str">
            <v>Gas</v>
          </cell>
          <cell r="F453" t="str">
            <v>Conventional</v>
          </cell>
          <cell r="G453">
            <v>0</v>
          </cell>
          <cell r="H453" t="str">
            <v>Production;Gas;Conventional</v>
          </cell>
          <cell r="I453" t="str">
            <v>Gas;Conventional;0;9</v>
          </cell>
          <cell r="J453" t="str">
            <v>BC</v>
          </cell>
          <cell r="K453" t="str">
            <v>Deep</v>
          </cell>
          <cell r="L453">
            <v>57</v>
          </cell>
          <cell r="M453">
            <v>1129.5000030000001</v>
          </cell>
        </row>
        <row r="454">
          <cell r="A454">
            <v>9</v>
          </cell>
          <cell r="B454">
            <v>2003</v>
          </cell>
          <cell r="C454">
            <v>1</v>
          </cell>
          <cell r="D454" t="str">
            <v>Production</v>
          </cell>
          <cell r="E454" t="str">
            <v>Gas</v>
          </cell>
          <cell r="F454" t="str">
            <v>Conventional</v>
          </cell>
          <cell r="G454">
            <v>0</v>
          </cell>
          <cell r="H454" t="str">
            <v>Production;Gas;Conventional</v>
          </cell>
          <cell r="I454" t="str">
            <v>Gas;Conventional;0;9</v>
          </cell>
          <cell r="J454" t="str">
            <v>BC</v>
          </cell>
          <cell r="K454" t="str">
            <v>Medium</v>
          </cell>
          <cell r="L454">
            <v>214</v>
          </cell>
          <cell r="M454">
            <v>4079.8333640000001</v>
          </cell>
        </row>
        <row r="455">
          <cell r="A455">
            <v>9</v>
          </cell>
          <cell r="B455">
            <v>2003</v>
          </cell>
          <cell r="C455">
            <v>1</v>
          </cell>
          <cell r="D455" t="str">
            <v>Production</v>
          </cell>
          <cell r="E455" t="str">
            <v>Gas</v>
          </cell>
          <cell r="F455" t="str">
            <v>Conventional</v>
          </cell>
          <cell r="G455">
            <v>0</v>
          </cell>
          <cell r="H455" t="str">
            <v>Production;Gas;Conventional</v>
          </cell>
          <cell r="I455" t="str">
            <v>Gas;Conventional;0;9</v>
          </cell>
          <cell r="J455" t="str">
            <v>BC</v>
          </cell>
          <cell r="K455" t="str">
            <v>Shallow</v>
          </cell>
          <cell r="L455">
            <v>27</v>
          </cell>
          <cell r="M455">
            <v>270.66667000000001</v>
          </cell>
        </row>
        <row r="456">
          <cell r="A456">
            <v>9</v>
          </cell>
          <cell r="B456">
            <v>2003</v>
          </cell>
          <cell r="C456">
            <v>2</v>
          </cell>
          <cell r="D456" t="str">
            <v>Production</v>
          </cell>
          <cell r="E456" t="str">
            <v>Gas</v>
          </cell>
          <cell r="F456" t="str">
            <v>Conventional</v>
          </cell>
          <cell r="G456">
            <v>0</v>
          </cell>
          <cell r="H456" t="str">
            <v>Production;Gas;Conventional</v>
          </cell>
          <cell r="I456" t="str">
            <v>Gas;Conventional;0;9</v>
          </cell>
          <cell r="J456" t="str">
            <v>BC</v>
          </cell>
          <cell r="K456" t="str">
            <v>Deep</v>
          </cell>
          <cell r="L456">
            <v>2</v>
          </cell>
          <cell r="M456">
            <v>38</v>
          </cell>
        </row>
        <row r="457">
          <cell r="A457">
            <v>9</v>
          </cell>
          <cell r="B457">
            <v>2003</v>
          </cell>
          <cell r="C457">
            <v>2</v>
          </cell>
          <cell r="D457" t="str">
            <v>Production</v>
          </cell>
          <cell r="E457" t="str">
            <v>Gas</v>
          </cell>
          <cell r="F457" t="str">
            <v>Conventional</v>
          </cell>
          <cell r="G457">
            <v>0</v>
          </cell>
          <cell r="H457" t="str">
            <v>Production;Gas;Conventional</v>
          </cell>
          <cell r="I457" t="str">
            <v>Gas;Conventional;0;9</v>
          </cell>
          <cell r="J457" t="str">
            <v>BC</v>
          </cell>
          <cell r="K457" t="str">
            <v>Medium</v>
          </cell>
          <cell r="L457">
            <v>3</v>
          </cell>
          <cell r="M457">
            <v>52.833330000000004</v>
          </cell>
        </row>
        <row r="458">
          <cell r="A458">
            <v>9</v>
          </cell>
          <cell r="B458">
            <v>2003</v>
          </cell>
          <cell r="C458">
            <v>3</v>
          </cell>
          <cell r="D458" t="str">
            <v>Production</v>
          </cell>
          <cell r="E458" t="str">
            <v>Gas</v>
          </cell>
          <cell r="F458" t="str">
            <v>Conventional</v>
          </cell>
          <cell r="G458">
            <v>0</v>
          </cell>
          <cell r="H458" t="str">
            <v>Production;Gas;Conventional</v>
          </cell>
          <cell r="I458" t="str">
            <v>Gas;Conventional;0;9</v>
          </cell>
          <cell r="J458" t="str">
            <v>BC</v>
          </cell>
          <cell r="K458" t="str">
            <v>Medium</v>
          </cell>
          <cell r="L458">
            <v>1</v>
          </cell>
          <cell r="M458">
            <v>45.5</v>
          </cell>
        </row>
        <row r="459">
          <cell r="A459">
            <v>9</v>
          </cell>
          <cell r="B459">
            <v>2004</v>
          </cell>
          <cell r="C459">
            <v>1</v>
          </cell>
          <cell r="D459" t="str">
            <v>Production</v>
          </cell>
          <cell r="E459" t="str">
            <v>Gas</v>
          </cell>
          <cell r="F459" t="str">
            <v>Conventional</v>
          </cell>
          <cell r="G459">
            <v>0</v>
          </cell>
          <cell r="H459" t="str">
            <v>Production;Gas;Conventional</v>
          </cell>
          <cell r="I459" t="str">
            <v>Gas;Conventional;0;9</v>
          </cell>
          <cell r="J459" t="str">
            <v>BC</v>
          </cell>
          <cell r="K459" t="str">
            <v>Deep</v>
          </cell>
          <cell r="L459">
            <v>37</v>
          </cell>
          <cell r="M459">
            <v>824.08334000000002</v>
          </cell>
        </row>
        <row r="460">
          <cell r="A460">
            <v>9</v>
          </cell>
          <cell r="B460">
            <v>2004</v>
          </cell>
          <cell r="C460">
            <v>1</v>
          </cell>
          <cell r="D460" t="str">
            <v>Production</v>
          </cell>
          <cell r="E460" t="str">
            <v>Gas</v>
          </cell>
          <cell r="F460" t="str">
            <v>Conventional</v>
          </cell>
          <cell r="G460">
            <v>0</v>
          </cell>
          <cell r="H460" t="str">
            <v>Production;Gas;Conventional</v>
          </cell>
          <cell r="I460" t="str">
            <v>Gas;Conventional;0;9</v>
          </cell>
          <cell r="J460" t="str">
            <v>BC</v>
          </cell>
          <cell r="K460" t="str">
            <v>Medium</v>
          </cell>
          <cell r="L460">
            <v>231</v>
          </cell>
          <cell r="M460">
            <v>4052.6166719999997</v>
          </cell>
        </row>
        <row r="461">
          <cell r="A461">
            <v>9</v>
          </cell>
          <cell r="B461">
            <v>2004</v>
          </cell>
          <cell r="C461">
            <v>1</v>
          </cell>
          <cell r="D461" t="str">
            <v>Production</v>
          </cell>
          <cell r="E461" t="str">
            <v>Gas</v>
          </cell>
          <cell r="F461" t="str">
            <v>Conventional</v>
          </cell>
          <cell r="G461">
            <v>0</v>
          </cell>
          <cell r="H461" t="str">
            <v>Production;Gas;Conventional</v>
          </cell>
          <cell r="I461" t="str">
            <v>Gas;Conventional;0;9</v>
          </cell>
          <cell r="J461" t="str">
            <v>BC</v>
          </cell>
          <cell r="K461" t="str">
            <v>SHALLOW</v>
          </cell>
          <cell r="L461">
            <v>16</v>
          </cell>
          <cell r="M461">
            <v>113</v>
          </cell>
        </row>
        <row r="462">
          <cell r="A462">
            <v>9</v>
          </cell>
          <cell r="B462">
            <v>2004</v>
          </cell>
          <cell r="C462">
            <v>2</v>
          </cell>
          <cell r="D462" t="str">
            <v>Production</v>
          </cell>
          <cell r="E462" t="str">
            <v>Gas</v>
          </cell>
          <cell r="F462" t="str">
            <v>Conventional</v>
          </cell>
          <cell r="G462">
            <v>0</v>
          </cell>
          <cell r="H462" t="str">
            <v>Production;Gas;Conventional</v>
          </cell>
          <cell r="I462" t="str">
            <v>Gas;Conventional;0;9</v>
          </cell>
          <cell r="J462" t="str">
            <v>BC</v>
          </cell>
          <cell r="K462" t="str">
            <v>Deep</v>
          </cell>
          <cell r="L462">
            <v>1</v>
          </cell>
          <cell r="M462">
            <v>11</v>
          </cell>
        </row>
        <row r="463">
          <cell r="A463">
            <v>9</v>
          </cell>
          <cell r="B463">
            <v>2004</v>
          </cell>
          <cell r="C463">
            <v>2</v>
          </cell>
          <cell r="D463" t="str">
            <v>Production</v>
          </cell>
          <cell r="E463" t="str">
            <v>Gas</v>
          </cell>
          <cell r="F463" t="str">
            <v>Conventional</v>
          </cell>
          <cell r="G463">
            <v>0</v>
          </cell>
          <cell r="H463" t="str">
            <v>Production;Gas;Conventional</v>
          </cell>
          <cell r="I463" t="str">
            <v>Gas;Conventional;0;9</v>
          </cell>
          <cell r="J463" t="str">
            <v>BC</v>
          </cell>
          <cell r="K463" t="str">
            <v>Medium</v>
          </cell>
          <cell r="L463">
            <v>7</v>
          </cell>
          <cell r="M463">
            <v>118</v>
          </cell>
        </row>
        <row r="464">
          <cell r="A464">
            <v>9</v>
          </cell>
          <cell r="B464">
            <v>2004</v>
          </cell>
          <cell r="C464">
            <v>2</v>
          </cell>
          <cell r="D464" t="str">
            <v>Production</v>
          </cell>
          <cell r="E464" t="str">
            <v>Gas</v>
          </cell>
          <cell r="F464" t="str">
            <v>Conventional</v>
          </cell>
          <cell r="G464">
            <v>0</v>
          </cell>
          <cell r="H464" t="str">
            <v>Production;Gas;Conventional</v>
          </cell>
          <cell r="I464" t="str">
            <v>Gas;Conventional;0;9</v>
          </cell>
          <cell r="J464" t="str">
            <v>BC</v>
          </cell>
          <cell r="K464" t="str">
            <v>Shallow</v>
          </cell>
          <cell r="L464">
            <v>1</v>
          </cell>
          <cell r="M464">
            <v>5.5</v>
          </cell>
        </row>
        <row r="465">
          <cell r="A465">
            <v>9</v>
          </cell>
          <cell r="B465">
            <v>2004</v>
          </cell>
          <cell r="C465">
            <v>3</v>
          </cell>
          <cell r="D465" t="str">
            <v>Production</v>
          </cell>
          <cell r="E465" t="str">
            <v>Gas</v>
          </cell>
          <cell r="F465" t="str">
            <v>Conventional</v>
          </cell>
          <cell r="G465">
            <v>0</v>
          </cell>
          <cell r="H465" t="str">
            <v>Production;Gas;Conventional</v>
          </cell>
          <cell r="I465" t="str">
            <v>Gas;Conventional;0;9</v>
          </cell>
          <cell r="J465" t="str">
            <v>BC</v>
          </cell>
          <cell r="K465" t="str">
            <v>Medium</v>
          </cell>
          <cell r="L465">
            <v>1</v>
          </cell>
          <cell r="M465">
            <v>9</v>
          </cell>
        </row>
        <row r="466">
          <cell r="A466">
            <v>9</v>
          </cell>
          <cell r="B466">
            <v>2005</v>
          </cell>
          <cell r="C466">
            <v>1</v>
          </cell>
          <cell r="D466" t="str">
            <v>Production</v>
          </cell>
          <cell r="E466" t="str">
            <v>Gas</v>
          </cell>
          <cell r="F466" t="str">
            <v>Conventional</v>
          </cell>
          <cell r="G466">
            <v>0</v>
          </cell>
          <cell r="H466" t="str">
            <v>Production;Gas;Conventional</v>
          </cell>
          <cell r="I466" t="str">
            <v>Gas;Conventional;0;9</v>
          </cell>
          <cell r="J466" t="str">
            <v>BC</v>
          </cell>
          <cell r="K466" t="str">
            <v>Deep</v>
          </cell>
          <cell r="L466">
            <v>43</v>
          </cell>
          <cell r="M466">
            <v>1172.8333699999998</v>
          </cell>
        </row>
        <row r="467">
          <cell r="A467">
            <v>9</v>
          </cell>
          <cell r="B467">
            <v>2005</v>
          </cell>
          <cell r="C467">
            <v>1</v>
          </cell>
          <cell r="D467" t="str">
            <v>Production</v>
          </cell>
          <cell r="E467" t="str">
            <v>Gas</v>
          </cell>
          <cell r="F467" t="str">
            <v>Conventional</v>
          </cell>
          <cell r="G467">
            <v>0</v>
          </cell>
          <cell r="H467" t="str">
            <v>Production;Gas;Conventional</v>
          </cell>
          <cell r="I467" t="str">
            <v>Gas;Conventional;0;9</v>
          </cell>
          <cell r="J467" t="str">
            <v>BC</v>
          </cell>
          <cell r="K467" t="str">
            <v>Medium</v>
          </cell>
          <cell r="L467">
            <v>198</v>
          </cell>
          <cell r="M467">
            <v>3945.7000029999999</v>
          </cell>
        </row>
        <row r="468">
          <cell r="A468">
            <v>9</v>
          </cell>
          <cell r="B468">
            <v>2005</v>
          </cell>
          <cell r="C468">
            <v>1</v>
          </cell>
          <cell r="D468" t="str">
            <v>Production</v>
          </cell>
          <cell r="E468" t="str">
            <v>Gas</v>
          </cell>
          <cell r="F468" t="str">
            <v>Conventional</v>
          </cell>
          <cell r="G468">
            <v>0</v>
          </cell>
          <cell r="H468" t="str">
            <v>Production;Gas;Conventional</v>
          </cell>
          <cell r="I468" t="str">
            <v>Gas;Conventional;0;9</v>
          </cell>
          <cell r="J468" t="str">
            <v>BC</v>
          </cell>
          <cell r="K468" t="str">
            <v>Shallow</v>
          </cell>
          <cell r="L468">
            <v>31</v>
          </cell>
          <cell r="M468">
            <v>190.16667000000001</v>
          </cell>
        </row>
        <row r="469">
          <cell r="A469">
            <v>9</v>
          </cell>
          <cell r="B469">
            <v>2005</v>
          </cell>
          <cell r="C469">
            <v>2</v>
          </cell>
          <cell r="D469" t="str">
            <v>Production</v>
          </cell>
          <cell r="E469" t="str">
            <v>Gas</v>
          </cell>
          <cell r="F469" t="str">
            <v>Conventional</v>
          </cell>
          <cell r="G469">
            <v>0</v>
          </cell>
          <cell r="H469" t="str">
            <v>Production;Gas;Conventional</v>
          </cell>
          <cell r="I469" t="str">
            <v>Gas;Conventional;0;9</v>
          </cell>
          <cell r="J469" t="str">
            <v>BC</v>
          </cell>
          <cell r="K469" t="str">
            <v>Deep</v>
          </cell>
          <cell r="L469">
            <v>4</v>
          </cell>
          <cell r="M469">
            <v>74</v>
          </cell>
        </row>
        <row r="470">
          <cell r="A470">
            <v>9</v>
          </cell>
          <cell r="B470">
            <v>2005</v>
          </cell>
          <cell r="C470">
            <v>2</v>
          </cell>
          <cell r="D470" t="str">
            <v>Production</v>
          </cell>
          <cell r="E470" t="str">
            <v>Gas</v>
          </cell>
          <cell r="F470" t="str">
            <v>Conventional</v>
          </cell>
          <cell r="G470">
            <v>0</v>
          </cell>
          <cell r="H470" t="str">
            <v>Production;Gas;Conventional</v>
          </cell>
          <cell r="I470" t="str">
            <v>Gas;Conventional;0;9</v>
          </cell>
          <cell r="J470" t="str">
            <v>BC</v>
          </cell>
          <cell r="K470" t="str">
            <v>Medium</v>
          </cell>
          <cell r="L470">
            <v>3</v>
          </cell>
          <cell r="M470">
            <v>57</v>
          </cell>
        </row>
        <row r="471">
          <cell r="A471">
            <v>9</v>
          </cell>
          <cell r="B471">
            <v>2006</v>
          </cell>
          <cell r="C471">
            <v>1</v>
          </cell>
          <cell r="D471" t="str">
            <v>Production</v>
          </cell>
          <cell r="E471" t="str">
            <v>Gas</v>
          </cell>
          <cell r="F471" t="str">
            <v>Conventional</v>
          </cell>
          <cell r="G471">
            <v>0</v>
          </cell>
          <cell r="H471" t="str">
            <v>Production;Gas;Conventional</v>
          </cell>
          <cell r="I471" t="str">
            <v>Gas;Conventional;0;9</v>
          </cell>
          <cell r="J471" t="str">
            <v>BC</v>
          </cell>
          <cell r="K471" t="str">
            <v>Deep</v>
          </cell>
          <cell r="L471">
            <v>33</v>
          </cell>
          <cell r="M471">
            <v>708</v>
          </cell>
        </row>
        <row r="472">
          <cell r="A472">
            <v>9</v>
          </cell>
          <cell r="B472">
            <v>2006</v>
          </cell>
          <cell r="C472">
            <v>1</v>
          </cell>
          <cell r="D472" t="str">
            <v>Production</v>
          </cell>
          <cell r="E472" t="str">
            <v>Gas</v>
          </cell>
          <cell r="F472" t="str">
            <v>Conventional</v>
          </cell>
          <cell r="G472">
            <v>0</v>
          </cell>
          <cell r="H472" t="str">
            <v>Production;Gas;Conventional</v>
          </cell>
          <cell r="I472" t="str">
            <v>Gas;Conventional;0;9</v>
          </cell>
          <cell r="J472" t="str">
            <v>BC</v>
          </cell>
          <cell r="K472" t="str">
            <v>Medium</v>
          </cell>
          <cell r="L472">
            <v>124</v>
          </cell>
          <cell r="M472">
            <v>2686.0833510000002</v>
          </cell>
        </row>
        <row r="473">
          <cell r="A473">
            <v>9</v>
          </cell>
          <cell r="B473">
            <v>2006</v>
          </cell>
          <cell r="C473">
            <v>1</v>
          </cell>
          <cell r="D473" t="str">
            <v>Production</v>
          </cell>
          <cell r="E473" t="str">
            <v>Gas</v>
          </cell>
          <cell r="F473" t="str">
            <v>Conventional</v>
          </cell>
          <cell r="G473">
            <v>0</v>
          </cell>
          <cell r="H473" t="str">
            <v>Production;Gas;Conventional</v>
          </cell>
          <cell r="I473" t="str">
            <v>Gas;Conventional;0;9</v>
          </cell>
          <cell r="J473" t="str">
            <v>BC</v>
          </cell>
          <cell r="K473" t="str">
            <v>Shallow</v>
          </cell>
          <cell r="L473">
            <v>60</v>
          </cell>
          <cell r="M473">
            <v>640.65165360000003</v>
          </cell>
        </row>
        <row r="474">
          <cell r="A474">
            <v>9</v>
          </cell>
          <cell r="B474">
            <v>2006</v>
          </cell>
          <cell r="C474">
            <v>2</v>
          </cell>
          <cell r="D474" t="str">
            <v>Production</v>
          </cell>
          <cell r="E474" t="str">
            <v>Gas</v>
          </cell>
          <cell r="F474" t="str">
            <v>Conventional</v>
          </cell>
          <cell r="G474">
            <v>0</v>
          </cell>
          <cell r="H474" t="str">
            <v>Production;Gas;Conventional</v>
          </cell>
          <cell r="I474" t="str">
            <v>Gas;Conventional;0;9</v>
          </cell>
          <cell r="J474" t="str">
            <v>BC</v>
          </cell>
          <cell r="K474" t="str">
            <v>Medium</v>
          </cell>
          <cell r="L474">
            <v>2</v>
          </cell>
          <cell r="M474">
            <v>37</v>
          </cell>
        </row>
        <row r="475">
          <cell r="A475">
            <v>9</v>
          </cell>
          <cell r="B475">
            <v>2007</v>
          </cell>
          <cell r="C475">
            <v>1</v>
          </cell>
          <cell r="D475" t="str">
            <v>Production</v>
          </cell>
          <cell r="E475" t="str">
            <v>Gas</v>
          </cell>
          <cell r="F475" t="str">
            <v>Conventional</v>
          </cell>
          <cell r="G475">
            <v>0</v>
          </cell>
          <cell r="H475" t="str">
            <v>Production;Gas;Conventional</v>
          </cell>
          <cell r="I475" t="str">
            <v>Gas;Conventional;0;9</v>
          </cell>
          <cell r="J475" t="str">
            <v>BC</v>
          </cell>
          <cell r="K475" t="str">
            <v>Deep</v>
          </cell>
          <cell r="L475">
            <v>4</v>
          </cell>
          <cell r="M475">
            <v>96</v>
          </cell>
        </row>
        <row r="476">
          <cell r="A476">
            <v>9</v>
          </cell>
          <cell r="B476">
            <v>2007</v>
          </cell>
          <cell r="C476">
            <v>1</v>
          </cell>
          <cell r="D476" t="str">
            <v>Production</v>
          </cell>
          <cell r="E476" t="str">
            <v>Gas</v>
          </cell>
          <cell r="F476" t="str">
            <v>Conventional</v>
          </cell>
          <cell r="G476">
            <v>0</v>
          </cell>
          <cell r="H476" t="str">
            <v>Production;Gas;Conventional</v>
          </cell>
          <cell r="I476" t="str">
            <v>Gas;Conventional;0;9</v>
          </cell>
          <cell r="J476" t="str">
            <v>BC</v>
          </cell>
          <cell r="K476" t="str">
            <v>Medium</v>
          </cell>
          <cell r="L476">
            <v>10</v>
          </cell>
          <cell r="M476">
            <v>125.5</v>
          </cell>
        </row>
        <row r="477">
          <cell r="A477">
            <v>9</v>
          </cell>
          <cell r="B477">
            <v>2007</v>
          </cell>
          <cell r="C477">
            <v>1</v>
          </cell>
          <cell r="D477" t="str">
            <v>Production</v>
          </cell>
          <cell r="E477" t="str">
            <v>Gas</v>
          </cell>
          <cell r="F477" t="str">
            <v>Conventional</v>
          </cell>
          <cell r="G477">
            <v>0</v>
          </cell>
          <cell r="H477" t="str">
            <v>Production;Gas;Conventional</v>
          </cell>
          <cell r="I477" t="str">
            <v>Gas;Conventional;0;9</v>
          </cell>
          <cell r="J477" t="str">
            <v>BC</v>
          </cell>
          <cell r="K477" t="str">
            <v>Shallow</v>
          </cell>
          <cell r="L477">
            <v>5</v>
          </cell>
          <cell r="M477">
            <v>21</v>
          </cell>
        </row>
        <row r="478">
          <cell r="A478">
            <v>10</v>
          </cell>
          <cell r="B478">
            <v>2000</v>
          </cell>
          <cell r="C478">
            <v>1</v>
          </cell>
          <cell r="D478" t="str">
            <v>Production</v>
          </cell>
          <cell r="E478" t="str">
            <v>Gas</v>
          </cell>
          <cell r="F478" t="str">
            <v>Conventional</v>
          </cell>
          <cell r="G478">
            <v>0</v>
          </cell>
          <cell r="H478" t="str">
            <v>Production;Gas;Conventional</v>
          </cell>
          <cell r="I478" t="str">
            <v>Gas;Conventional;0;10</v>
          </cell>
          <cell r="J478" t="str">
            <v>BC</v>
          </cell>
          <cell r="K478" t="str">
            <v>Deep</v>
          </cell>
          <cell r="L478">
            <v>5</v>
          </cell>
          <cell r="M478">
            <v>475.5</v>
          </cell>
        </row>
        <row r="479">
          <cell r="A479">
            <v>10</v>
          </cell>
          <cell r="B479">
            <v>2000</v>
          </cell>
          <cell r="C479">
            <v>1</v>
          </cell>
          <cell r="D479" t="str">
            <v>Production</v>
          </cell>
          <cell r="E479" t="str">
            <v>Gas</v>
          </cell>
          <cell r="F479" t="str">
            <v>Conventional</v>
          </cell>
          <cell r="G479">
            <v>0</v>
          </cell>
          <cell r="H479" t="str">
            <v>Production;Gas;Conventional</v>
          </cell>
          <cell r="I479" t="str">
            <v>Gas;Conventional;0;10</v>
          </cell>
          <cell r="J479" t="str">
            <v>BC</v>
          </cell>
          <cell r="K479" t="str">
            <v>Medium</v>
          </cell>
          <cell r="L479">
            <v>7</v>
          </cell>
          <cell r="M479">
            <v>444</v>
          </cell>
        </row>
        <row r="480">
          <cell r="A480">
            <v>10</v>
          </cell>
          <cell r="B480">
            <v>2000</v>
          </cell>
          <cell r="C480">
            <v>1</v>
          </cell>
          <cell r="D480" t="str">
            <v>Production</v>
          </cell>
          <cell r="E480" t="str">
            <v>Gas</v>
          </cell>
          <cell r="F480" t="str">
            <v>Conventional</v>
          </cell>
          <cell r="G480">
            <v>0</v>
          </cell>
          <cell r="H480" t="str">
            <v>Production;Gas;Conventional</v>
          </cell>
          <cell r="I480" t="str">
            <v>Gas;Conventional;0;10</v>
          </cell>
          <cell r="J480" t="str">
            <v>BC</v>
          </cell>
          <cell r="K480" t="str">
            <v>SHALLOW</v>
          </cell>
          <cell r="L480">
            <v>1</v>
          </cell>
          <cell r="M480">
            <v>16</v>
          </cell>
        </row>
        <row r="481">
          <cell r="A481">
            <v>10</v>
          </cell>
          <cell r="B481">
            <v>2000</v>
          </cell>
          <cell r="C481">
            <v>2</v>
          </cell>
          <cell r="D481" t="str">
            <v>Production</v>
          </cell>
          <cell r="E481" t="str">
            <v>Gas</v>
          </cell>
          <cell r="F481" t="str">
            <v>Conventional</v>
          </cell>
          <cell r="G481">
            <v>0</v>
          </cell>
          <cell r="H481" t="str">
            <v>Production;Gas;Conventional</v>
          </cell>
          <cell r="I481" t="str">
            <v>Gas;Conventional;0;10</v>
          </cell>
          <cell r="J481" t="str">
            <v>BC</v>
          </cell>
          <cell r="K481" t="str">
            <v>Deep</v>
          </cell>
          <cell r="L481">
            <v>1</v>
          </cell>
          <cell r="M481">
            <v>53</v>
          </cell>
        </row>
        <row r="482">
          <cell r="A482">
            <v>10</v>
          </cell>
          <cell r="B482">
            <v>2001</v>
          </cell>
          <cell r="C482">
            <v>1</v>
          </cell>
          <cell r="D482" t="str">
            <v>Production</v>
          </cell>
          <cell r="E482" t="str">
            <v>Gas</v>
          </cell>
          <cell r="F482" t="str">
            <v>Conventional</v>
          </cell>
          <cell r="G482">
            <v>0</v>
          </cell>
          <cell r="H482" t="str">
            <v>Production;Gas;Conventional</v>
          </cell>
          <cell r="I482" t="str">
            <v>Gas;Conventional;0;10</v>
          </cell>
          <cell r="J482" t="str">
            <v>BC</v>
          </cell>
          <cell r="K482" t="str">
            <v>Deep</v>
          </cell>
          <cell r="L482">
            <v>11</v>
          </cell>
          <cell r="M482">
            <v>1057.5</v>
          </cell>
        </row>
        <row r="483">
          <cell r="A483">
            <v>10</v>
          </cell>
          <cell r="B483">
            <v>2001</v>
          </cell>
          <cell r="C483">
            <v>1</v>
          </cell>
          <cell r="D483" t="str">
            <v>Production</v>
          </cell>
          <cell r="E483" t="str">
            <v>Gas</v>
          </cell>
          <cell r="F483" t="str">
            <v>Conventional</v>
          </cell>
          <cell r="G483">
            <v>0</v>
          </cell>
          <cell r="H483" t="str">
            <v>Production;Gas;Conventional</v>
          </cell>
          <cell r="I483" t="str">
            <v>Gas;Conventional;0;10</v>
          </cell>
          <cell r="J483" t="str">
            <v>BC</v>
          </cell>
          <cell r="K483" t="str">
            <v>Medium</v>
          </cell>
          <cell r="L483">
            <v>10</v>
          </cell>
          <cell r="M483">
            <v>568</v>
          </cell>
        </row>
        <row r="484">
          <cell r="A484">
            <v>10</v>
          </cell>
          <cell r="B484">
            <v>2001</v>
          </cell>
          <cell r="C484">
            <v>2</v>
          </cell>
          <cell r="D484" t="str">
            <v>Production</v>
          </cell>
          <cell r="E484" t="str">
            <v>Gas</v>
          </cell>
          <cell r="F484" t="str">
            <v>Conventional</v>
          </cell>
          <cell r="G484">
            <v>0</v>
          </cell>
          <cell r="H484" t="str">
            <v>Production;Gas;Conventional</v>
          </cell>
          <cell r="I484" t="str">
            <v>Gas;Conventional;0;10</v>
          </cell>
          <cell r="J484" t="str">
            <v>BC</v>
          </cell>
          <cell r="K484" t="str">
            <v>Deep</v>
          </cell>
          <cell r="L484">
            <v>4</v>
          </cell>
          <cell r="M484">
            <v>227</v>
          </cell>
        </row>
        <row r="485">
          <cell r="A485">
            <v>10</v>
          </cell>
          <cell r="B485">
            <v>2001</v>
          </cell>
          <cell r="C485">
            <v>2</v>
          </cell>
          <cell r="D485" t="str">
            <v>Production</v>
          </cell>
          <cell r="E485" t="str">
            <v>Gas</v>
          </cell>
          <cell r="F485" t="str">
            <v>Conventional</v>
          </cell>
          <cell r="G485">
            <v>0</v>
          </cell>
          <cell r="H485" t="str">
            <v>Production;Gas;Conventional</v>
          </cell>
          <cell r="I485" t="str">
            <v>Gas;Conventional;0;10</v>
          </cell>
          <cell r="J485" t="str">
            <v>BC</v>
          </cell>
          <cell r="K485" t="str">
            <v>Medium</v>
          </cell>
          <cell r="L485">
            <v>1</v>
          </cell>
          <cell r="M485">
            <v>20.5</v>
          </cell>
        </row>
        <row r="486">
          <cell r="A486">
            <v>10</v>
          </cell>
          <cell r="B486">
            <v>2002</v>
          </cell>
          <cell r="C486">
            <v>1</v>
          </cell>
          <cell r="D486" t="str">
            <v>Production</v>
          </cell>
          <cell r="E486" t="str">
            <v>Gas</v>
          </cell>
          <cell r="F486" t="str">
            <v>Conventional</v>
          </cell>
          <cell r="G486">
            <v>0</v>
          </cell>
          <cell r="H486" t="str">
            <v>Production;Gas;Conventional</v>
          </cell>
          <cell r="I486" t="str">
            <v>Gas;Conventional;0;10</v>
          </cell>
          <cell r="J486" t="str">
            <v>BC</v>
          </cell>
          <cell r="K486" t="str">
            <v>Deep</v>
          </cell>
          <cell r="L486">
            <v>7</v>
          </cell>
          <cell r="M486">
            <v>1008</v>
          </cell>
        </row>
        <row r="487">
          <cell r="A487">
            <v>10</v>
          </cell>
          <cell r="B487">
            <v>2002</v>
          </cell>
          <cell r="C487">
            <v>1</v>
          </cell>
          <cell r="D487" t="str">
            <v>Production</v>
          </cell>
          <cell r="E487" t="str">
            <v>Gas</v>
          </cell>
          <cell r="F487" t="str">
            <v>Conventional</v>
          </cell>
          <cell r="G487">
            <v>0</v>
          </cell>
          <cell r="H487" t="str">
            <v>Production;Gas;Conventional</v>
          </cell>
          <cell r="I487" t="str">
            <v>Gas;Conventional;0;10</v>
          </cell>
          <cell r="J487" t="str">
            <v>BC</v>
          </cell>
          <cell r="K487" t="str">
            <v>Medium</v>
          </cell>
          <cell r="L487">
            <v>8</v>
          </cell>
          <cell r="M487">
            <v>335</v>
          </cell>
        </row>
        <row r="488">
          <cell r="A488">
            <v>10</v>
          </cell>
          <cell r="B488">
            <v>2003</v>
          </cell>
          <cell r="C488">
            <v>1</v>
          </cell>
          <cell r="D488" t="str">
            <v>Production</v>
          </cell>
          <cell r="E488" t="str">
            <v>Gas</v>
          </cell>
          <cell r="F488" t="str">
            <v>Conventional</v>
          </cell>
          <cell r="G488">
            <v>0</v>
          </cell>
          <cell r="H488" t="str">
            <v>Production;Gas;Conventional</v>
          </cell>
          <cell r="I488" t="str">
            <v>Gas;Conventional;0;10</v>
          </cell>
          <cell r="J488" t="str">
            <v>BC</v>
          </cell>
          <cell r="K488" t="str">
            <v>Deep</v>
          </cell>
          <cell r="L488">
            <v>9</v>
          </cell>
          <cell r="M488">
            <v>936</v>
          </cell>
        </row>
        <row r="489">
          <cell r="A489">
            <v>10</v>
          </cell>
          <cell r="B489">
            <v>2003</v>
          </cell>
          <cell r="C489">
            <v>1</v>
          </cell>
          <cell r="D489" t="str">
            <v>Production</v>
          </cell>
          <cell r="E489" t="str">
            <v>Gas</v>
          </cell>
          <cell r="F489" t="str">
            <v>Conventional</v>
          </cell>
          <cell r="G489">
            <v>0</v>
          </cell>
          <cell r="H489" t="str">
            <v>Production;Gas;Conventional</v>
          </cell>
          <cell r="I489" t="str">
            <v>Gas;Conventional;0;10</v>
          </cell>
          <cell r="J489" t="str">
            <v>BC</v>
          </cell>
          <cell r="K489" t="str">
            <v>Medium</v>
          </cell>
          <cell r="L489">
            <v>10</v>
          </cell>
          <cell r="M489">
            <v>415</v>
          </cell>
        </row>
        <row r="490">
          <cell r="A490">
            <v>10</v>
          </cell>
          <cell r="B490">
            <v>2003</v>
          </cell>
          <cell r="C490">
            <v>1</v>
          </cell>
          <cell r="D490" t="str">
            <v>Production</v>
          </cell>
          <cell r="E490" t="str">
            <v>Gas</v>
          </cell>
          <cell r="F490" t="str">
            <v>Conventional</v>
          </cell>
          <cell r="G490">
            <v>0</v>
          </cell>
          <cell r="H490" t="str">
            <v>Production;Gas;Conventional</v>
          </cell>
          <cell r="I490" t="str">
            <v>Gas;Conventional;0;10</v>
          </cell>
          <cell r="J490" t="str">
            <v>BC</v>
          </cell>
          <cell r="K490" t="str">
            <v>Shallow</v>
          </cell>
          <cell r="L490">
            <v>1</v>
          </cell>
          <cell r="M490">
            <v>193</v>
          </cell>
        </row>
        <row r="491">
          <cell r="A491">
            <v>10</v>
          </cell>
          <cell r="B491">
            <v>2003</v>
          </cell>
          <cell r="C491">
            <v>2</v>
          </cell>
          <cell r="D491" t="str">
            <v>Production</v>
          </cell>
          <cell r="E491" t="str">
            <v>Gas</v>
          </cell>
          <cell r="F491" t="str">
            <v>Conventional</v>
          </cell>
          <cell r="G491">
            <v>0</v>
          </cell>
          <cell r="H491" t="str">
            <v>Production;Gas;Conventional</v>
          </cell>
          <cell r="I491" t="str">
            <v>Gas;Conventional;0;10</v>
          </cell>
          <cell r="J491" t="str">
            <v>BC</v>
          </cell>
          <cell r="K491" t="str">
            <v>Deep</v>
          </cell>
          <cell r="L491">
            <v>1</v>
          </cell>
          <cell r="M491">
            <v>37</v>
          </cell>
        </row>
        <row r="492">
          <cell r="A492">
            <v>10</v>
          </cell>
          <cell r="B492">
            <v>2004</v>
          </cell>
          <cell r="C492">
            <v>1</v>
          </cell>
          <cell r="D492" t="str">
            <v>Production</v>
          </cell>
          <cell r="E492" t="str">
            <v>Gas</v>
          </cell>
          <cell r="F492" t="str">
            <v>Conventional</v>
          </cell>
          <cell r="G492">
            <v>0</v>
          </cell>
          <cell r="H492" t="str">
            <v>Production;Gas;Conventional</v>
          </cell>
          <cell r="I492" t="str">
            <v>Gas;Conventional;0;10</v>
          </cell>
          <cell r="J492" t="str">
            <v>BC</v>
          </cell>
          <cell r="K492" t="str">
            <v>Deep</v>
          </cell>
          <cell r="L492">
            <v>15</v>
          </cell>
          <cell r="M492">
            <v>1421</v>
          </cell>
        </row>
        <row r="493">
          <cell r="A493">
            <v>10</v>
          </cell>
          <cell r="B493">
            <v>2004</v>
          </cell>
          <cell r="C493">
            <v>1</v>
          </cell>
          <cell r="D493" t="str">
            <v>Production</v>
          </cell>
          <cell r="E493" t="str">
            <v>Gas</v>
          </cell>
          <cell r="F493" t="str">
            <v>Conventional</v>
          </cell>
          <cell r="G493">
            <v>0</v>
          </cell>
          <cell r="H493" t="str">
            <v>Production;Gas;Conventional</v>
          </cell>
          <cell r="I493" t="str">
            <v>Gas;Conventional;0;10</v>
          </cell>
          <cell r="J493" t="str">
            <v>BC</v>
          </cell>
          <cell r="K493" t="str">
            <v>Medium</v>
          </cell>
          <cell r="L493">
            <v>14</v>
          </cell>
          <cell r="M493">
            <v>436</v>
          </cell>
        </row>
        <row r="494">
          <cell r="A494">
            <v>10</v>
          </cell>
          <cell r="B494">
            <v>2004</v>
          </cell>
          <cell r="C494">
            <v>1</v>
          </cell>
          <cell r="D494" t="str">
            <v>Production</v>
          </cell>
          <cell r="E494" t="str">
            <v>Gas</v>
          </cell>
          <cell r="F494" t="str">
            <v>Conventional</v>
          </cell>
          <cell r="G494">
            <v>0</v>
          </cell>
          <cell r="H494" t="str">
            <v>Production;Gas;Conventional</v>
          </cell>
          <cell r="I494" t="str">
            <v>Gas;Conventional;0;10</v>
          </cell>
          <cell r="J494" t="str">
            <v>BC</v>
          </cell>
          <cell r="K494" t="str">
            <v>Shallow</v>
          </cell>
          <cell r="L494">
            <v>2</v>
          </cell>
          <cell r="M494">
            <v>76</v>
          </cell>
        </row>
        <row r="495">
          <cell r="A495">
            <v>10</v>
          </cell>
          <cell r="B495">
            <v>2004</v>
          </cell>
          <cell r="C495">
            <v>2</v>
          </cell>
          <cell r="D495" t="str">
            <v>Production</v>
          </cell>
          <cell r="E495" t="str">
            <v>Gas</v>
          </cell>
          <cell r="F495" t="str">
            <v>Conventional</v>
          </cell>
          <cell r="G495">
            <v>0</v>
          </cell>
          <cell r="H495" t="str">
            <v>Production;Gas;Conventional</v>
          </cell>
          <cell r="I495" t="str">
            <v>Gas;Conventional;0;10</v>
          </cell>
          <cell r="J495" t="str">
            <v>BC</v>
          </cell>
          <cell r="K495" t="str">
            <v>Deep</v>
          </cell>
          <cell r="L495">
            <v>3</v>
          </cell>
          <cell r="M495">
            <v>276</v>
          </cell>
        </row>
        <row r="496">
          <cell r="A496">
            <v>10</v>
          </cell>
          <cell r="B496">
            <v>2004</v>
          </cell>
          <cell r="C496">
            <v>2</v>
          </cell>
          <cell r="D496" t="str">
            <v>Production</v>
          </cell>
          <cell r="E496" t="str">
            <v>Gas</v>
          </cell>
          <cell r="F496" t="str">
            <v>Conventional</v>
          </cell>
          <cell r="G496">
            <v>0</v>
          </cell>
          <cell r="H496" t="str">
            <v>Production;Gas;Conventional</v>
          </cell>
          <cell r="I496" t="str">
            <v>Gas;Conventional;0;10</v>
          </cell>
          <cell r="J496" t="str">
            <v>BC</v>
          </cell>
          <cell r="K496" t="str">
            <v>Medium</v>
          </cell>
          <cell r="L496">
            <v>1</v>
          </cell>
          <cell r="M496">
            <v>3</v>
          </cell>
        </row>
        <row r="497">
          <cell r="A497">
            <v>10</v>
          </cell>
          <cell r="B497">
            <v>2004</v>
          </cell>
          <cell r="C497">
            <v>6</v>
          </cell>
          <cell r="D497" t="str">
            <v>Production</v>
          </cell>
          <cell r="E497" t="str">
            <v>Gas</v>
          </cell>
          <cell r="F497" t="str">
            <v>Conventional</v>
          </cell>
          <cell r="G497">
            <v>0</v>
          </cell>
          <cell r="H497" t="str">
            <v>Production;Gas;Conventional</v>
          </cell>
          <cell r="I497" t="str">
            <v>Gas;Conventional;0;10</v>
          </cell>
          <cell r="J497" t="str">
            <v>BC</v>
          </cell>
          <cell r="K497" t="str">
            <v>Deep</v>
          </cell>
          <cell r="L497">
            <v>1</v>
          </cell>
          <cell r="M497">
            <v>56</v>
          </cell>
        </row>
        <row r="498">
          <cell r="A498">
            <v>10</v>
          </cell>
          <cell r="B498">
            <v>2005</v>
          </cell>
          <cell r="C498">
            <v>1</v>
          </cell>
          <cell r="D498" t="str">
            <v>Production</v>
          </cell>
          <cell r="E498" t="str">
            <v>Gas</v>
          </cell>
          <cell r="F498" t="str">
            <v>Conventional</v>
          </cell>
          <cell r="G498">
            <v>0</v>
          </cell>
          <cell r="H498" t="str">
            <v>Production;Gas;Conventional</v>
          </cell>
          <cell r="I498" t="str">
            <v>Gas;Conventional;0;10</v>
          </cell>
          <cell r="J498" t="str">
            <v>BC</v>
          </cell>
          <cell r="K498" t="str">
            <v>Deep</v>
          </cell>
          <cell r="L498">
            <v>22</v>
          </cell>
          <cell r="M498">
            <v>1724.5</v>
          </cell>
        </row>
        <row r="499">
          <cell r="A499">
            <v>10</v>
          </cell>
          <cell r="B499">
            <v>2005</v>
          </cell>
          <cell r="C499">
            <v>1</v>
          </cell>
          <cell r="D499" t="str">
            <v>Production</v>
          </cell>
          <cell r="E499" t="str">
            <v>Gas</v>
          </cell>
          <cell r="F499" t="str">
            <v>Conventional</v>
          </cell>
          <cell r="G499">
            <v>0</v>
          </cell>
          <cell r="H499" t="str">
            <v>Production;Gas;Conventional</v>
          </cell>
          <cell r="I499" t="str">
            <v>Gas;Conventional;0;10</v>
          </cell>
          <cell r="J499" t="str">
            <v>BC</v>
          </cell>
          <cell r="K499" t="str">
            <v>Medium</v>
          </cell>
          <cell r="L499">
            <v>23</v>
          </cell>
          <cell r="M499">
            <v>404</v>
          </cell>
        </row>
        <row r="500">
          <cell r="A500">
            <v>10</v>
          </cell>
          <cell r="B500">
            <v>2005</v>
          </cell>
          <cell r="C500">
            <v>2</v>
          </cell>
          <cell r="D500" t="str">
            <v>Production</v>
          </cell>
          <cell r="E500" t="str">
            <v>Gas</v>
          </cell>
          <cell r="F500" t="str">
            <v>Conventional</v>
          </cell>
          <cell r="G500">
            <v>0</v>
          </cell>
          <cell r="H500" t="str">
            <v>Production;Gas;Conventional</v>
          </cell>
          <cell r="I500" t="str">
            <v>Gas;Conventional;0;10</v>
          </cell>
          <cell r="J500" t="str">
            <v>BC</v>
          </cell>
          <cell r="K500" t="str">
            <v>Deep</v>
          </cell>
          <cell r="L500">
            <v>1</v>
          </cell>
          <cell r="M500">
            <v>52</v>
          </cell>
        </row>
        <row r="501">
          <cell r="A501">
            <v>10</v>
          </cell>
          <cell r="B501">
            <v>2005</v>
          </cell>
          <cell r="C501">
            <v>2</v>
          </cell>
          <cell r="D501" t="str">
            <v>Production</v>
          </cell>
          <cell r="E501" t="str">
            <v>Gas</v>
          </cell>
          <cell r="F501" t="str">
            <v>Conventional</v>
          </cell>
          <cell r="G501">
            <v>0</v>
          </cell>
          <cell r="H501" t="str">
            <v>Production;Gas;Conventional</v>
          </cell>
          <cell r="I501" t="str">
            <v>Gas;Conventional;0;10</v>
          </cell>
          <cell r="J501" t="str">
            <v>BC</v>
          </cell>
          <cell r="K501" t="str">
            <v>Medium</v>
          </cell>
          <cell r="L501">
            <v>1</v>
          </cell>
          <cell r="M501">
            <v>15</v>
          </cell>
        </row>
        <row r="502">
          <cell r="A502">
            <v>10</v>
          </cell>
          <cell r="B502">
            <v>2006</v>
          </cell>
          <cell r="C502">
            <v>1</v>
          </cell>
          <cell r="D502" t="str">
            <v>Production</v>
          </cell>
          <cell r="E502" t="str">
            <v>Gas</v>
          </cell>
          <cell r="F502" t="str">
            <v>Conventional</v>
          </cell>
          <cell r="G502">
            <v>0</v>
          </cell>
          <cell r="H502" t="str">
            <v>Production;Gas;Conventional</v>
          </cell>
          <cell r="I502" t="str">
            <v>Gas;Conventional;0;10</v>
          </cell>
          <cell r="J502" t="str">
            <v>BC</v>
          </cell>
          <cell r="K502" t="str">
            <v>Deep</v>
          </cell>
          <cell r="L502">
            <v>14</v>
          </cell>
          <cell r="M502">
            <v>1455</v>
          </cell>
        </row>
        <row r="503">
          <cell r="A503">
            <v>10</v>
          </cell>
          <cell r="B503">
            <v>2006</v>
          </cell>
          <cell r="C503">
            <v>1</v>
          </cell>
          <cell r="D503" t="str">
            <v>Production</v>
          </cell>
          <cell r="E503" t="str">
            <v>Gas</v>
          </cell>
          <cell r="F503" t="str">
            <v>Conventional</v>
          </cell>
          <cell r="G503">
            <v>0</v>
          </cell>
          <cell r="H503" t="str">
            <v>Production;Gas;Conventional</v>
          </cell>
          <cell r="I503" t="str">
            <v>Gas;Conventional;0;10</v>
          </cell>
          <cell r="J503" t="str">
            <v>BC</v>
          </cell>
          <cell r="K503" t="str">
            <v>Medium</v>
          </cell>
          <cell r="L503">
            <v>21</v>
          </cell>
          <cell r="M503">
            <v>384</v>
          </cell>
        </row>
        <row r="504">
          <cell r="A504">
            <v>10</v>
          </cell>
          <cell r="B504">
            <v>2007</v>
          </cell>
          <cell r="C504">
            <v>1</v>
          </cell>
          <cell r="D504" t="str">
            <v>Production</v>
          </cell>
          <cell r="E504" t="str">
            <v>Gas</v>
          </cell>
          <cell r="F504" t="str">
            <v>Conventional</v>
          </cell>
          <cell r="G504">
            <v>0</v>
          </cell>
          <cell r="H504" t="str">
            <v>Production;Gas;Conventional</v>
          </cell>
          <cell r="I504" t="str">
            <v>Gas;Conventional;0;10</v>
          </cell>
          <cell r="J504" t="str">
            <v>BC</v>
          </cell>
          <cell r="K504" t="str">
            <v>Medium</v>
          </cell>
          <cell r="L504">
            <v>3</v>
          </cell>
          <cell r="M504">
            <v>47</v>
          </cell>
        </row>
        <row r="505">
          <cell r="A505">
            <v>11</v>
          </cell>
          <cell r="B505">
            <v>2000</v>
          </cell>
          <cell r="C505">
            <v>1</v>
          </cell>
          <cell r="D505" t="str">
            <v>Production</v>
          </cell>
          <cell r="E505" t="str">
            <v>Gas</v>
          </cell>
          <cell r="F505" t="str">
            <v>Conventional</v>
          </cell>
          <cell r="G505">
            <v>0</v>
          </cell>
          <cell r="H505" t="str">
            <v>Production;Gas;Conventional</v>
          </cell>
          <cell r="I505" t="str">
            <v>Gas;Conventional;0;11</v>
          </cell>
          <cell r="J505" t="str">
            <v>SK</v>
          </cell>
          <cell r="K505" t="str">
            <v>Medium</v>
          </cell>
          <cell r="L505">
            <v>8</v>
          </cell>
          <cell r="M505">
            <v>27.5</v>
          </cell>
        </row>
        <row r="506">
          <cell r="A506">
            <v>11</v>
          </cell>
          <cell r="B506">
            <v>2000</v>
          </cell>
          <cell r="C506">
            <v>1</v>
          </cell>
          <cell r="D506" t="str">
            <v>Production</v>
          </cell>
          <cell r="E506" t="str">
            <v>Gas</v>
          </cell>
          <cell r="F506" t="str">
            <v>Conventional</v>
          </cell>
          <cell r="G506">
            <v>0</v>
          </cell>
          <cell r="H506" t="str">
            <v>Production;Gas;Conventional</v>
          </cell>
          <cell r="I506" t="str">
            <v>Gas;Conventional;0;11</v>
          </cell>
          <cell r="J506" t="str">
            <v>SK</v>
          </cell>
          <cell r="K506" t="str">
            <v>Shallow</v>
          </cell>
          <cell r="L506">
            <v>83</v>
          </cell>
          <cell r="M506">
            <v>213.66666700000002</v>
          </cell>
        </row>
        <row r="507">
          <cell r="A507">
            <v>11</v>
          </cell>
          <cell r="B507">
            <v>2001</v>
          </cell>
          <cell r="C507">
            <v>1</v>
          </cell>
          <cell r="D507" t="str">
            <v>Production</v>
          </cell>
          <cell r="E507" t="str">
            <v>Gas</v>
          </cell>
          <cell r="F507" t="str">
            <v>Conventional</v>
          </cell>
          <cell r="G507">
            <v>0</v>
          </cell>
          <cell r="H507" t="str">
            <v>Production;Gas;Conventional</v>
          </cell>
          <cell r="I507" t="str">
            <v>Gas;Conventional;0;11</v>
          </cell>
          <cell r="J507" t="str">
            <v>SK</v>
          </cell>
          <cell r="K507" t="str">
            <v>Medium</v>
          </cell>
          <cell r="L507">
            <v>10</v>
          </cell>
          <cell r="M507">
            <v>24.5</v>
          </cell>
        </row>
        <row r="508">
          <cell r="A508">
            <v>11</v>
          </cell>
          <cell r="B508">
            <v>2001</v>
          </cell>
          <cell r="C508">
            <v>1</v>
          </cell>
          <cell r="D508" t="str">
            <v>Production</v>
          </cell>
          <cell r="E508" t="str">
            <v>Gas</v>
          </cell>
          <cell r="F508" t="str">
            <v>Conventional</v>
          </cell>
          <cell r="G508">
            <v>0</v>
          </cell>
          <cell r="H508" t="str">
            <v>Production;Gas;Conventional</v>
          </cell>
          <cell r="I508" t="str">
            <v>Gas;Conventional;0;11</v>
          </cell>
          <cell r="J508" t="str">
            <v>SK</v>
          </cell>
          <cell r="K508" t="str">
            <v>SHALLOW</v>
          </cell>
          <cell r="L508">
            <v>128</v>
          </cell>
          <cell r="M508">
            <v>371.16666700000002</v>
          </cell>
        </row>
        <row r="509">
          <cell r="A509">
            <v>11</v>
          </cell>
          <cell r="B509">
            <v>2002</v>
          </cell>
          <cell r="C509">
            <v>1</v>
          </cell>
          <cell r="D509" t="str">
            <v>Production</v>
          </cell>
          <cell r="E509" t="str">
            <v>Gas</v>
          </cell>
          <cell r="F509" t="str">
            <v>Conventional</v>
          </cell>
          <cell r="G509">
            <v>0</v>
          </cell>
          <cell r="H509" t="str">
            <v>Production;Gas;Conventional</v>
          </cell>
          <cell r="I509" t="str">
            <v>Gas;Conventional;0;11</v>
          </cell>
          <cell r="J509" t="str">
            <v>SK</v>
          </cell>
          <cell r="K509" t="str">
            <v>Medium</v>
          </cell>
          <cell r="L509">
            <v>4</v>
          </cell>
          <cell r="M509">
            <v>8.8333329999999997</v>
          </cell>
        </row>
        <row r="510">
          <cell r="A510">
            <v>11</v>
          </cell>
          <cell r="B510">
            <v>2002</v>
          </cell>
          <cell r="C510">
            <v>1</v>
          </cell>
          <cell r="D510" t="str">
            <v>Production</v>
          </cell>
          <cell r="E510" t="str">
            <v>Gas</v>
          </cell>
          <cell r="F510" t="str">
            <v>Conventional</v>
          </cell>
          <cell r="G510">
            <v>0</v>
          </cell>
          <cell r="H510" t="str">
            <v>Production;Gas;Conventional</v>
          </cell>
          <cell r="I510" t="str">
            <v>Gas;Conventional;0;11</v>
          </cell>
          <cell r="J510" t="str">
            <v>SK</v>
          </cell>
          <cell r="K510" t="str">
            <v>Shallow</v>
          </cell>
          <cell r="L510">
            <v>110</v>
          </cell>
          <cell r="M510">
            <v>295.85000000000002</v>
          </cell>
        </row>
        <row r="511">
          <cell r="A511">
            <v>11</v>
          </cell>
          <cell r="B511">
            <v>2003</v>
          </cell>
          <cell r="C511">
            <v>1</v>
          </cell>
          <cell r="D511" t="str">
            <v>Production</v>
          </cell>
          <cell r="E511" t="str">
            <v>Gas</v>
          </cell>
          <cell r="F511" t="str">
            <v>Conventional</v>
          </cell>
          <cell r="G511">
            <v>0</v>
          </cell>
          <cell r="H511" t="str">
            <v>Production;Gas;Conventional</v>
          </cell>
          <cell r="I511" t="str">
            <v>Gas;Conventional;0;11</v>
          </cell>
          <cell r="J511" t="str">
            <v>SK</v>
          </cell>
          <cell r="K511" t="str">
            <v>Medium</v>
          </cell>
          <cell r="L511">
            <v>12</v>
          </cell>
          <cell r="M511">
            <v>33.499999000000003</v>
          </cell>
        </row>
        <row r="512">
          <cell r="A512">
            <v>11</v>
          </cell>
          <cell r="B512">
            <v>2003</v>
          </cell>
          <cell r="C512">
            <v>1</v>
          </cell>
          <cell r="D512" t="str">
            <v>Production</v>
          </cell>
          <cell r="E512" t="str">
            <v>Gas</v>
          </cell>
          <cell r="F512" t="str">
            <v>Conventional</v>
          </cell>
          <cell r="G512">
            <v>0</v>
          </cell>
          <cell r="H512" t="str">
            <v>Production;Gas;Conventional</v>
          </cell>
          <cell r="I512" t="str">
            <v>Gas;Conventional;0;11</v>
          </cell>
          <cell r="J512" t="str">
            <v>SK</v>
          </cell>
          <cell r="K512" t="str">
            <v>Shallow</v>
          </cell>
          <cell r="L512">
            <v>254</v>
          </cell>
          <cell r="M512">
            <v>728.9388899999999</v>
          </cell>
        </row>
        <row r="513">
          <cell r="A513">
            <v>11</v>
          </cell>
          <cell r="B513">
            <v>2004</v>
          </cell>
          <cell r="C513">
            <v>1</v>
          </cell>
          <cell r="D513" t="str">
            <v>Production</v>
          </cell>
          <cell r="E513" t="str">
            <v>Gas</v>
          </cell>
          <cell r="F513" t="str">
            <v>Conventional</v>
          </cell>
          <cell r="G513">
            <v>0</v>
          </cell>
          <cell r="H513" t="str">
            <v>Production;Gas;Conventional</v>
          </cell>
          <cell r="I513" t="str">
            <v>Gas;Conventional;0;11</v>
          </cell>
          <cell r="J513" t="str">
            <v>SK</v>
          </cell>
          <cell r="K513" t="str">
            <v>Medium</v>
          </cell>
          <cell r="L513">
            <v>8</v>
          </cell>
          <cell r="M513">
            <v>22</v>
          </cell>
        </row>
        <row r="514">
          <cell r="A514">
            <v>11</v>
          </cell>
          <cell r="B514">
            <v>2004</v>
          </cell>
          <cell r="C514">
            <v>1</v>
          </cell>
          <cell r="D514" t="str">
            <v>Production</v>
          </cell>
          <cell r="E514" t="str">
            <v>Gas</v>
          </cell>
          <cell r="F514" t="str">
            <v>Conventional</v>
          </cell>
          <cell r="G514">
            <v>0</v>
          </cell>
          <cell r="H514" t="str">
            <v>Production;Gas;Conventional</v>
          </cell>
          <cell r="I514" t="str">
            <v>Gas;Conventional;0;11</v>
          </cell>
          <cell r="J514" t="str">
            <v>SK</v>
          </cell>
          <cell r="K514" t="str">
            <v>Shallow</v>
          </cell>
          <cell r="L514">
            <v>245</v>
          </cell>
          <cell r="M514">
            <v>783.05215940000005</v>
          </cell>
        </row>
        <row r="515">
          <cell r="A515">
            <v>11</v>
          </cell>
          <cell r="B515">
            <v>2005</v>
          </cell>
          <cell r="C515">
            <v>1</v>
          </cell>
          <cell r="D515" t="str">
            <v>Production</v>
          </cell>
          <cell r="E515" t="str">
            <v>Gas</v>
          </cell>
          <cell r="F515" t="str">
            <v>Conventional</v>
          </cell>
          <cell r="G515">
            <v>0</v>
          </cell>
          <cell r="H515" t="str">
            <v>Production;Gas;Conventional</v>
          </cell>
          <cell r="I515" t="str">
            <v>Gas;Conventional;0;11</v>
          </cell>
          <cell r="J515" t="str">
            <v>SK</v>
          </cell>
          <cell r="K515" t="str">
            <v>Medium</v>
          </cell>
          <cell r="L515">
            <v>9</v>
          </cell>
          <cell r="M515">
            <v>23</v>
          </cell>
        </row>
        <row r="516">
          <cell r="A516">
            <v>11</v>
          </cell>
          <cell r="B516">
            <v>2005</v>
          </cell>
          <cell r="C516">
            <v>1</v>
          </cell>
          <cell r="D516" t="str">
            <v>Production</v>
          </cell>
          <cell r="E516" t="str">
            <v>Gas</v>
          </cell>
          <cell r="F516" t="str">
            <v>Conventional</v>
          </cell>
          <cell r="G516">
            <v>0</v>
          </cell>
          <cell r="H516" t="str">
            <v>Production;Gas;Conventional</v>
          </cell>
          <cell r="I516" t="str">
            <v>Gas;Conventional;0;11</v>
          </cell>
          <cell r="J516" t="str">
            <v>SK</v>
          </cell>
          <cell r="K516" t="str">
            <v>Shallow</v>
          </cell>
          <cell r="L516">
            <v>234</v>
          </cell>
          <cell r="M516">
            <v>946.56602530000032</v>
          </cell>
        </row>
        <row r="517">
          <cell r="A517">
            <v>11</v>
          </cell>
          <cell r="B517">
            <v>2006</v>
          </cell>
          <cell r="C517">
            <v>1</v>
          </cell>
          <cell r="D517" t="str">
            <v>Production</v>
          </cell>
          <cell r="E517" t="str">
            <v>Gas</v>
          </cell>
          <cell r="F517" t="str">
            <v>Conventional</v>
          </cell>
          <cell r="G517">
            <v>0</v>
          </cell>
          <cell r="H517" t="str">
            <v>Production;Gas;Conventional</v>
          </cell>
          <cell r="I517" t="str">
            <v>Gas;Conventional;0;11</v>
          </cell>
          <cell r="J517" t="str">
            <v>SK</v>
          </cell>
          <cell r="K517" t="str">
            <v>MEDIUM</v>
          </cell>
          <cell r="L517">
            <v>20</v>
          </cell>
          <cell r="M517">
            <v>82</v>
          </cell>
        </row>
        <row r="518">
          <cell r="A518">
            <v>11</v>
          </cell>
          <cell r="B518">
            <v>2006</v>
          </cell>
          <cell r="C518">
            <v>1</v>
          </cell>
          <cell r="D518" t="str">
            <v>Production</v>
          </cell>
          <cell r="E518" t="str">
            <v>Gas</v>
          </cell>
          <cell r="F518" t="str">
            <v>Conventional</v>
          </cell>
          <cell r="G518">
            <v>0</v>
          </cell>
          <cell r="H518" t="str">
            <v>Production;Gas;Conventional</v>
          </cell>
          <cell r="I518" t="str">
            <v>Gas;Conventional;0;11</v>
          </cell>
          <cell r="J518" t="str">
            <v>SK</v>
          </cell>
          <cell r="K518" t="str">
            <v>Shallow</v>
          </cell>
          <cell r="L518">
            <v>177</v>
          </cell>
          <cell r="M518">
            <v>543.0759101000001</v>
          </cell>
        </row>
        <row r="519">
          <cell r="A519">
            <v>11</v>
          </cell>
          <cell r="B519">
            <v>2007</v>
          </cell>
          <cell r="C519">
            <v>1</v>
          </cell>
          <cell r="D519" t="str">
            <v>Production</v>
          </cell>
          <cell r="E519" t="str">
            <v>Gas</v>
          </cell>
          <cell r="F519" t="str">
            <v>Conventional</v>
          </cell>
          <cell r="G519">
            <v>0</v>
          </cell>
          <cell r="H519" t="str">
            <v>Production;Gas;Conventional</v>
          </cell>
          <cell r="I519" t="str">
            <v>Gas;Conventional;0;11</v>
          </cell>
          <cell r="J519" t="str">
            <v>SK</v>
          </cell>
          <cell r="K519" t="str">
            <v>Medium</v>
          </cell>
          <cell r="L519">
            <v>2</v>
          </cell>
          <cell r="M519">
            <v>6</v>
          </cell>
        </row>
        <row r="520">
          <cell r="A520">
            <v>11</v>
          </cell>
          <cell r="B520">
            <v>2007</v>
          </cell>
          <cell r="C520">
            <v>1</v>
          </cell>
          <cell r="D520" t="str">
            <v>Production</v>
          </cell>
          <cell r="E520" t="str">
            <v>Gas</v>
          </cell>
          <cell r="F520" t="str">
            <v>Conventional</v>
          </cell>
          <cell r="G520">
            <v>0</v>
          </cell>
          <cell r="H520" t="str">
            <v>Production;Gas;Conventional</v>
          </cell>
          <cell r="I520" t="str">
            <v>Gas;Conventional;0;11</v>
          </cell>
          <cell r="J520" t="str">
            <v>SK</v>
          </cell>
          <cell r="K520" t="str">
            <v>Shallow</v>
          </cell>
          <cell r="L520">
            <v>45</v>
          </cell>
          <cell r="M520">
            <v>279.93254350000001</v>
          </cell>
        </row>
        <row r="521">
          <cell r="A521">
            <v>12</v>
          </cell>
          <cell r="B521">
            <v>2000</v>
          </cell>
          <cell r="C521">
            <v>1</v>
          </cell>
          <cell r="D521" t="str">
            <v>Production</v>
          </cell>
          <cell r="E521" t="str">
            <v>Gas</v>
          </cell>
          <cell r="F521" t="str">
            <v>Conventional</v>
          </cell>
          <cell r="G521">
            <v>0</v>
          </cell>
          <cell r="H521" t="str">
            <v>Production;Gas;Conventional</v>
          </cell>
          <cell r="I521" t="str">
            <v>Gas;Conventional;0;12</v>
          </cell>
          <cell r="J521" t="str">
            <v>SK</v>
          </cell>
          <cell r="K521" t="str">
            <v>Medium</v>
          </cell>
          <cell r="L521">
            <v>38</v>
          </cell>
          <cell r="M521">
            <v>106.66666660000001</v>
          </cell>
        </row>
        <row r="522">
          <cell r="A522">
            <v>12</v>
          </cell>
          <cell r="B522">
            <v>2000</v>
          </cell>
          <cell r="C522">
            <v>1</v>
          </cell>
          <cell r="D522" t="str">
            <v>Production</v>
          </cell>
          <cell r="E522" t="str">
            <v>Gas</v>
          </cell>
          <cell r="F522" t="str">
            <v>Conventional</v>
          </cell>
          <cell r="G522">
            <v>0</v>
          </cell>
          <cell r="H522" t="str">
            <v>Production;Gas;Conventional</v>
          </cell>
          <cell r="I522" t="str">
            <v>Gas;Conventional;0;12</v>
          </cell>
          <cell r="J522" t="str">
            <v>SK</v>
          </cell>
          <cell r="K522" t="str">
            <v>Shallow</v>
          </cell>
          <cell r="L522">
            <v>1101</v>
          </cell>
          <cell r="M522">
            <v>1925.9558830000019</v>
          </cell>
        </row>
        <row r="523">
          <cell r="A523">
            <v>12</v>
          </cell>
          <cell r="B523">
            <v>2001</v>
          </cell>
          <cell r="C523">
            <v>1</v>
          </cell>
          <cell r="D523" t="str">
            <v>Production</v>
          </cell>
          <cell r="E523" t="str">
            <v>Gas</v>
          </cell>
          <cell r="F523" t="str">
            <v>Conventional</v>
          </cell>
          <cell r="G523">
            <v>0</v>
          </cell>
          <cell r="H523" t="str">
            <v>Production;Gas;Conventional</v>
          </cell>
          <cell r="I523" t="str">
            <v>Gas;Conventional;0;12</v>
          </cell>
          <cell r="J523" t="str">
            <v>SK</v>
          </cell>
          <cell r="K523" t="str">
            <v>Deep</v>
          </cell>
          <cell r="L523">
            <v>1</v>
          </cell>
          <cell r="M523">
            <v>1</v>
          </cell>
        </row>
        <row r="524">
          <cell r="A524">
            <v>12</v>
          </cell>
          <cell r="B524">
            <v>2001</v>
          </cell>
          <cell r="C524">
            <v>1</v>
          </cell>
          <cell r="D524" t="str">
            <v>Production</v>
          </cell>
          <cell r="E524" t="str">
            <v>Gas</v>
          </cell>
          <cell r="F524" t="str">
            <v>Conventional</v>
          </cell>
          <cell r="G524">
            <v>0</v>
          </cell>
          <cell r="H524" t="str">
            <v>Production;Gas;Conventional</v>
          </cell>
          <cell r="I524" t="str">
            <v>Gas;Conventional;0;12</v>
          </cell>
          <cell r="J524" t="str">
            <v>SK</v>
          </cell>
          <cell r="K524" t="str">
            <v>Medium</v>
          </cell>
          <cell r="L524">
            <v>15</v>
          </cell>
          <cell r="M524">
            <v>57</v>
          </cell>
        </row>
        <row r="525">
          <cell r="A525">
            <v>12</v>
          </cell>
          <cell r="B525">
            <v>2001</v>
          </cell>
          <cell r="C525">
            <v>1</v>
          </cell>
          <cell r="D525" t="str">
            <v>Production</v>
          </cell>
          <cell r="E525" t="str">
            <v>Gas</v>
          </cell>
          <cell r="F525" t="str">
            <v>Conventional</v>
          </cell>
          <cell r="G525">
            <v>0</v>
          </cell>
          <cell r="H525" t="str">
            <v>Production;Gas;Conventional</v>
          </cell>
          <cell r="I525" t="str">
            <v>Gas;Conventional;0;12</v>
          </cell>
          <cell r="J525" t="str">
            <v>SK</v>
          </cell>
          <cell r="K525" t="str">
            <v>Shallow</v>
          </cell>
          <cell r="L525">
            <v>1266</v>
          </cell>
          <cell r="M525">
            <v>2062.7954093100011</v>
          </cell>
        </row>
        <row r="526">
          <cell r="A526">
            <v>12</v>
          </cell>
          <cell r="B526">
            <v>2002</v>
          </cell>
          <cell r="C526">
            <v>1</v>
          </cell>
          <cell r="D526" t="str">
            <v>Production</v>
          </cell>
          <cell r="E526" t="str">
            <v>Gas</v>
          </cell>
          <cell r="F526" t="str">
            <v>Conventional</v>
          </cell>
          <cell r="G526">
            <v>0</v>
          </cell>
          <cell r="H526" t="str">
            <v>Production;Gas;Conventional</v>
          </cell>
          <cell r="I526" t="str">
            <v>Gas;Conventional;0;12</v>
          </cell>
          <cell r="J526" t="str">
            <v>SK</v>
          </cell>
          <cell r="K526" t="str">
            <v>Deep</v>
          </cell>
          <cell r="L526">
            <v>1</v>
          </cell>
          <cell r="M526">
            <v>0.5</v>
          </cell>
        </row>
        <row r="527">
          <cell r="A527">
            <v>12</v>
          </cell>
          <cell r="B527">
            <v>2002</v>
          </cell>
          <cell r="C527">
            <v>1</v>
          </cell>
          <cell r="D527" t="str">
            <v>Production</v>
          </cell>
          <cell r="E527" t="str">
            <v>Gas</v>
          </cell>
          <cell r="F527" t="str">
            <v>Conventional</v>
          </cell>
          <cell r="G527">
            <v>0</v>
          </cell>
          <cell r="H527" t="str">
            <v>Production;Gas;Conventional</v>
          </cell>
          <cell r="I527" t="str">
            <v>Gas;Conventional;0;12</v>
          </cell>
          <cell r="J527" t="str">
            <v>SK</v>
          </cell>
          <cell r="K527" t="str">
            <v>Medium</v>
          </cell>
          <cell r="L527">
            <v>13</v>
          </cell>
          <cell r="M527">
            <v>88.666666300000003</v>
          </cell>
        </row>
        <row r="528">
          <cell r="A528">
            <v>12</v>
          </cell>
          <cell r="B528">
            <v>2002</v>
          </cell>
          <cell r="C528">
            <v>1</v>
          </cell>
          <cell r="D528" t="str">
            <v>Production</v>
          </cell>
          <cell r="E528" t="str">
            <v>Gas</v>
          </cell>
          <cell r="F528" t="str">
            <v>Conventional</v>
          </cell>
          <cell r="G528">
            <v>0</v>
          </cell>
          <cell r="H528" t="str">
            <v>Production;Gas;Conventional</v>
          </cell>
          <cell r="I528" t="str">
            <v>Gas;Conventional;0;12</v>
          </cell>
          <cell r="J528" t="str">
            <v>SK</v>
          </cell>
          <cell r="K528" t="str">
            <v>Shallow</v>
          </cell>
          <cell r="L528">
            <v>1771</v>
          </cell>
          <cell r="M528">
            <v>3240.0469163500024</v>
          </cell>
        </row>
        <row r="529">
          <cell r="A529">
            <v>12</v>
          </cell>
          <cell r="B529">
            <v>2003</v>
          </cell>
          <cell r="C529">
            <v>1</v>
          </cell>
          <cell r="D529" t="str">
            <v>Production</v>
          </cell>
          <cell r="E529" t="str">
            <v>Gas</v>
          </cell>
          <cell r="F529" t="str">
            <v>Conventional</v>
          </cell>
          <cell r="G529">
            <v>0</v>
          </cell>
          <cell r="H529" t="str">
            <v>Production;Gas;Conventional</v>
          </cell>
          <cell r="I529" t="str">
            <v>Gas;Conventional;0;12</v>
          </cell>
          <cell r="J529" t="str">
            <v>SK</v>
          </cell>
          <cell r="K529" t="str">
            <v>Medium</v>
          </cell>
          <cell r="L529">
            <v>32</v>
          </cell>
          <cell r="M529">
            <v>141</v>
          </cell>
        </row>
        <row r="530">
          <cell r="A530">
            <v>12</v>
          </cell>
          <cell r="B530">
            <v>2003</v>
          </cell>
          <cell r="C530">
            <v>1</v>
          </cell>
          <cell r="D530" t="str">
            <v>Production</v>
          </cell>
          <cell r="E530" t="str">
            <v>Gas</v>
          </cell>
          <cell r="F530" t="str">
            <v>Conventional</v>
          </cell>
          <cell r="G530">
            <v>0</v>
          </cell>
          <cell r="H530" t="str">
            <v>Production;Gas;Conventional</v>
          </cell>
          <cell r="I530" t="str">
            <v>Gas;Conventional;0;12</v>
          </cell>
          <cell r="J530" t="str">
            <v>SK</v>
          </cell>
          <cell r="K530" t="str">
            <v>SHALLOW</v>
          </cell>
          <cell r="L530">
            <v>2044</v>
          </cell>
          <cell r="M530">
            <v>3814.8037017400061</v>
          </cell>
        </row>
        <row r="531">
          <cell r="A531">
            <v>12</v>
          </cell>
          <cell r="B531">
            <v>2004</v>
          </cell>
          <cell r="C531">
            <v>1</v>
          </cell>
          <cell r="D531" t="str">
            <v>Production</v>
          </cell>
          <cell r="E531" t="str">
            <v>Gas</v>
          </cell>
          <cell r="F531" t="str">
            <v>Conventional</v>
          </cell>
          <cell r="G531">
            <v>0</v>
          </cell>
          <cell r="H531" t="str">
            <v>Production;Gas;Conventional</v>
          </cell>
          <cell r="I531" t="str">
            <v>Gas;Conventional;0;12</v>
          </cell>
          <cell r="J531" t="str">
            <v>SK</v>
          </cell>
          <cell r="K531" t="str">
            <v>Deep</v>
          </cell>
          <cell r="L531">
            <v>1</v>
          </cell>
          <cell r="M531">
            <v>2</v>
          </cell>
        </row>
        <row r="532">
          <cell r="A532">
            <v>12</v>
          </cell>
          <cell r="B532">
            <v>2004</v>
          </cell>
          <cell r="C532">
            <v>1</v>
          </cell>
          <cell r="D532" t="str">
            <v>Production</v>
          </cell>
          <cell r="E532" t="str">
            <v>Gas</v>
          </cell>
          <cell r="F532" t="str">
            <v>Conventional</v>
          </cell>
          <cell r="G532">
            <v>0</v>
          </cell>
          <cell r="H532" t="str">
            <v>Production;Gas;Conventional</v>
          </cell>
          <cell r="I532" t="str">
            <v>Gas;Conventional;0;12</v>
          </cell>
          <cell r="J532" t="str">
            <v>SK</v>
          </cell>
          <cell r="K532" t="str">
            <v>Medium</v>
          </cell>
          <cell r="L532">
            <v>34</v>
          </cell>
          <cell r="M532">
            <v>165.5</v>
          </cell>
        </row>
        <row r="533">
          <cell r="A533">
            <v>12</v>
          </cell>
          <cell r="B533">
            <v>2004</v>
          </cell>
          <cell r="C533">
            <v>1</v>
          </cell>
          <cell r="D533" t="str">
            <v>Production</v>
          </cell>
          <cell r="E533" t="str">
            <v>Gas</v>
          </cell>
          <cell r="F533" t="str">
            <v>Conventional</v>
          </cell>
          <cell r="G533">
            <v>0</v>
          </cell>
          <cell r="H533" t="str">
            <v>Production;Gas;Conventional</v>
          </cell>
          <cell r="I533" t="str">
            <v>Gas;Conventional;0;12</v>
          </cell>
          <cell r="J533" t="str">
            <v>SK</v>
          </cell>
          <cell r="K533" t="str">
            <v>Shallow</v>
          </cell>
          <cell r="L533">
            <v>1625</v>
          </cell>
          <cell r="M533">
            <v>3331.8739280500076</v>
          </cell>
        </row>
        <row r="534">
          <cell r="A534">
            <v>12</v>
          </cell>
          <cell r="B534">
            <v>2005</v>
          </cell>
          <cell r="C534">
            <v>1</v>
          </cell>
          <cell r="D534" t="str">
            <v>Production</v>
          </cell>
          <cell r="E534" t="str">
            <v>Gas</v>
          </cell>
          <cell r="F534" t="str">
            <v>Conventional</v>
          </cell>
          <cell r="G534">
            <v>0</v>
          </cell>
          <cell r="H534" t="str">
            <v>Production;Gas;Conventional</v>
          </cell>
          <cell r="I534" t="str">
            <v>Gas;Conventional;0;12</v>
          </cell>
          <cell r="J534" t="str">
            <v>SK</v>
          </cell>
          <cell r="K534" t="str">
            <v>Deep</v>
          </cell>
          <cell r="L534">
            <v>1</v>
          </cell>
          <cell r="M534">
            <v>3</v>
          </cell>
        </row>
        <row r="535">
          <cell r="A535">
            <v>12</v>
          </cell>
          <cell r="B535">
            <v>2005</v>
          </cell>
          <cell r="C535">
            <v>1</v>
          </cell>
          <cell r="D535" t="str">
            <v>Production</v>
          </cell>
          <cell r="E535" t="str">
            <v>Gas</v>
          </cell>
          <cell r="F535" t="str">
            <v>Conventional</v>
          </cell>
          <cell r="G535">
            <v>0</v>
          </cell>
          <cell r="H535" t="str">
            <v>Production;Gas;Conventional</v>
          </cell>
          <cell r="I535" t="str">
            <v>Gas;Conventional;0;12</v>
          </cell>
          <cell r="J535" t="str">
            <v>SK</v>
          </cell>
          <cell r="K535" t="str">
            <v>Medium</v>
          </cell>
          <cell r="L535">
            <v>70</v>
          </cell>
          <cell r="M535">
            <v>227.57390290000004</v>
          </cell>
        </row>
        <row r="536">
          <cell r="A536">
            <v>12</v>
          </cell>
          <cell r="B536">
            <v>2005</v>
          </cell>
          <cell r="C536">
            <v>1</v>
          </cell>
          <cell r="D536" t="str">
            <v>Production</v>
          </cell>
          <cell r="E536" t="str">
            <v>Gas</v>
          </cell>
          <cell r="F536" t="str">
            <v>Conventional</v>
          </cell>
          <cell r="G536">
            <v>0</v>
          </cell>
          <cell r="H536" t="str">
            <v>Production;Gas;Conventional</v>
          </cell>
          <cell r="I536" t="str">
            <v>Gas;Conventional;0;12</v>
          </cell>
          <cell r="J536" t="str">
            <v>SK</v>
          </cell>
          <cell r="K536" t="str">
            <v>Shallow</v>
          </cell>
          <cell r="L536">
            <v>1462</v>
          </cell>
          <cell r="M536">
            <v>3349.4320523000042</v>
          </cell>
        </row>
        <row r="537">
          <cell r="A537">
            <v>12</v>
          </cell>
          <cell r="B537">
            <v>2006</v>
          </cell>
          <cell r="C537">
            <v>1</v>
          </cell>
          <cell r="D537" t="str">
            <v>Production</v>
          </cell>
          <cell r="E537" t="str">
            <v>Gas</v>
          </cell>
          <cell r="F537" t="str">
            <v>Conventional</v>
          </cell>
          <cell r="G537">
            <v>0</v>
          </cell>
          <cell r="H537" t="str">
            <v>Production;Gas;Conventional</v>
          </cell>
          <cell r="I537" t="str">
            <v>Gas;Conventional;0;12</v>
          </cell>
          <cell r="J537" t="str">
            <v>SK</v>
          </cell>
          <cell r="K537" t="str">
            <v>Medium</v>
          </cell>
          <cell r="L537">
            <v>63</v>
          </cell>
          <cell r="M537">
            <v>145.33333329999999</v>
          </cell>
        </row>
        <row r="538">
          <cell r="A538">
            <v>12</v>
          </cell>
          <cell r="B538">
            <v>2006</v>
          </cell>
          <cell r="C538">
            <v>1</v>
          </cell>
          <cell r="D538" t="str">
            <v>Production</v>
          </cell>
          <cell r="E538" t="str">
            <v>Gas</v>
          </cell>
          <cell r="F538" t="str">
            <v>Conventional</v>
          </cell>
          <cell r="G538">
            <v>0</v>
          </cell>
          <cell r="H538" t="str">
            <v>Production;Gas;Conventional</v>
          </cell>
          <cell r="I538" t="str">
            <v>Gas;Conventional;0;12</v>
          </cell>
          <cell r="J538" t="str">
            <v>SK</v>
          </cell>
          <cell r="K538" t="str">
            <v>Shallow</v>
          </cell>
          <cell r="L538">
            <v>1161</v>
          </cell>
          <cell r="M538">
            <v>2254.5668192899984</v>
          </cell>
        </row>
        <row r="539">
          <cell r="A539">
            <v>12</v>
          </cell>
          <cell r="B539">
            <v>2007</v>
          </cell>
          <cell r="C539">
            <v>1</v>
          </cell>
          <cell r="D539" t="str">
            <v>Production</v>
          </cell>
          <cell r="E539" t="str">
            <v>Gas</v>
          </cell>
          <cell r="F539" t="str">
            <v>Conventional</v>
          </cell>
          <cell r="G539">
            <v>0</v>
          </cell>
          <cell r="H539" t="str">
            <v>Production;Gas;Conventional</v>
          </cell>
          <cell r="I539" t="str">
            <v>Gas;Conventional;0;12</v>
          </cell>
          <cell r="J539" t="str">
            <v>SK</v>
          </cell>
          <cell r="K539" t="str">
            <v>Medium</v>
          </cell>
          <cell r="L539">
            <v>32</v>
          </cell>
          <cell r="M539">
            <v>97</v>
          </cell>
        </row>
        <row r="540">
          <cell r="A540">
            <v>12</v>
          </cell>
          <cell r="B540">
            <v>2007</v>
          </cell>
          <cell r="C540">
            <v>1</v>
          </cell>
          <cell r="D540" t="str">
            <v>Production</v>
          </cell>
          <cell r="E540" t="str">
            <v>Gas</v>
          </cell>
          <cell r="F540" t="str">
            <v>Conventional</v>
          </cell>
          <cell r="G540">
            <v>0</v>
          </cell>
          <cell r="H540" t="str">
            <v>Production;Gas;Conventional</v>
          </cell>
          <cell r="I540" t="str">
            <v>Gas;Conventional;0;12</v>
          </cell>
          <cell r="J540" t="str">
            <v>SK</v>
          </cell>
          <cell r="K540" t="str">
            <v>Shallow</v>
          </cell>
          <cell r="L540">
            <v>285</v>
          </cell>
          <cell r="M540">
            <v>1414.3349400000002</v>
          </cell>
        </row>
        <row r="541">
          <cell r="A541">
            <v>13</v>
          </cell>
          <cell r="B541">
            <v>2000</v>
          </cell>
          <cell r="C541">
            <v>1</v>
          </cell>
          <cell r="D541" t="str">
            <v>Production</v>
          </cell>
          <cell r="E541" t="str">
            <v>Gas</v>
          </cell>
          <cell r="F541" t="str">
            <v>Conventional</v>
          </cell>
          <cell r="G541">
            <v>0</v>
          </cell>
          <cell r="H541" t="str">
            <v>Production;Gas;Conventional</v>
          </cell>
          <cell r="I541" t="str">
            <v>Gas;Conventional;0;13</v>
          </cell>
          <cell r="J541" t="str">
            <v>SK</v>
          </cell>
          <cell r="K541" t="str">
            <v>MEDIUM</v>
          </cell>
          <cell r="L541">
            <v>1</v>
          </cell>
          <cell r="M541">
            <v>29</v>
          </cell>
        </row>
        <row r="542">
          <cell r="A542">
            <v>13</v>
          </cell>
          <cell r="B542">
            <v>2000</v>
          </cell>
          <cell r="C542">
            <v>1</v>
          </cell>
          <cell r="D542" t="str">
            <v>Production</v>
          </cell>
          <cell r="E542" t="str">
            <v>Gas</v>
          </cell>
          <cell r="F542" t="str">
            <v>Conventional</v>
          </cell>
          <cell r="G542">
            <v>0</v>
          </cell>
          <cell r="H542" t="str">
            <v>Production;Gas;Conventional</v>
          </cell>
          <cell r="I542" t="str">
            <v>Gas;Conventional;0;13</v>
          </cell>
          <cell r="J542" t="str">
            <v>SK</v>
          </cell>
          <cell r="K542" t="str">
            <v>SHALLOW</v>
          </cell>
          <cell r="L542">
            <v>2</v>
          </cell>
          <cell r="M542">
            <v>6</v>
          </cell>
        </row>
        <row r="543">
          <cell r="A543">
            <v>13</v>
          </cell>
          <cell r="B543">
            <v>2001</v>
          </cell>
          <cell r="C543">
            <v>1</v>
          </cell>
          <cell r="D543" t="str">
            <v>Production</v>
          </cell>
          <cell r="E543" t="str">
            <v>Gas</v>
          </cell>
          <cell r="F543" t="str">
            <v>Conventional</v>
          </cell>
          <cell r="G543">
            <v>0</v>
          </cell>
          <cell r="H543" t="str">
            <v>Production;Gas;Conventional</v>
          </cell>
          <cell r="I543" t="str">
            <v>Gas;Conventional;0;13</v>
          </cell>
          <cell r="J543" t="str">
            <v>SK</v>
          </cell>
          <cell r="K543" t="str">
            <v>Medium</v>
          </cell>
          <cell r="L543">
            <v>3</v>
          </cell>
          <cell r="M543">
            <v>19.5</v>
          </cell>
        </row>
        <row r="544">
          <cell r="A544">
            <v>13</v>
          </cell>
          <cell r="B544">
            <v>2001</v>
          </cell>
          <cell r="C544">
            <v>1</v>
          </cell>
          <cell r="D544" t="str">
            <v>Production</v>
          </cell>
          <cell r="E544" t="str">
            <v>Gas</v>
          </cell>
          <cell r="F544" t="str">
            <v>Conventional</v>
          </cell>
          <cell r="G544">
            <v>0</v>
          </cell>
          <cell r="H544" t="str">
            <v>Production;Gas;Conventional</v>
          </cell>
          <cell r="I544" t="str">
            <v>Gas;Conventional;0;13</v>
          </cell>
          <cell r="J544" t="str">
            <v>SK</v>
          </cell>
          <cell r="K544" t="str">
            <v>SHALLOW</v>
          </cell>
          <cell r="L544">
            <v>2</v>
          </cell>
          <cell r="M544">
            <v>6</v>
          </cell>
        </row>
        <row r="545">
          <cell r="A545">
            <v>13</v>
          </cell>
          <cell r="B545">
            <v>2002</v>
          </cell>
          <cell r="C545">
            <v>1</v>
          </cell>
          <cell r="D545" t="str">
            <v>Production</v>
          </cell>
          <cell r="E545" t="str">
            <v>Gas</v>
          </cell>
          <cell r="F545" t="str">
            <v>Conventional</v>
          </cell>
          <cell r="G545">
            <v>0</v>
          </cell>
          <cell r="H545" t="str">
            <v>Production;Gas;Conventional</v>
          </cell>
          <cell r="I545" t="str">
            <v>Gas;Conventional;0;13</v>
          </cell>
          <cell r="J545" t="str">
            <v>SK</v>
          </cell>
          <cell r="K545" t="str">
            <v>MEDIUM</v>
          </cell>
          <cell r="L545">
            <v>1</v>
          </cell>
          <cell r="M545">
            <v>35</v>
          </cell>
        </row>
        <row r="546">
          <cell r="A546">
            <v>13</v>
          </cell>
          <cell r="B546">
            <v>2002</v>
          </cell>
          <cell r="C546">
            <v>1</v>
          </cell>
          <cell r="D546" t="str">
            <v>Production</v>
          </cell>
          <cell r="E546" t="str">
            <v>Gas</v>
          </cell>
          <cell r="F546" t="str">
            <v>Conventional</v>
          </cell>
          <cell r="G546">
            <v>0</v>
          </cell>
          <cell r="H546" t="str">
            <v>Production;Gas;Conventional</v>
          </cell>
          <cell r="I546" t="str">
            <v>Gas;Conventional;0;13</v>
          </cell>
          <cell r="J546" t="str">
            <v>SK</v>
          </cell>
          <cell r="K546" t="str">
            <v>SHALLOW</v>
          </cell>
          <cell r="L546">
            <v>2</v>
          </cell>
          <cell r="M546">
            <v>9</v>
          </cell>
        </row>
        <row r="547">
          <cell r="A547">
            <v>13</v>
          </cell>
          <cell r="B547">
            <v>2003</v>
          </cell>
          <cell r="C547">
            <v>1</v>
          </cell>
          <cell r="D547" t="str">
            <v>Production</v>
          </cell>
          <cell r="E547" t="str">
            <v>Gas</v>
          </cell>
          <cell r="F547" t="str">
            <v>Conventional</v>
          </cell>
          <cell r="G547">
            <v>0</v>
          </cell>
          <cell r="H547" t="str">
            <v>Production;Gas;Conventional</v>
          </cell>
          <cell r="I547" t="str">
            <v>Gas;Conventional;0;13</v>
          </cell>
          <cell r="J547" t="str">
            <v>SK</v>
          </cell>
          <cell r="K547" t="str">
            <v>SHALLOW</v>
          </cell>
          <cell r="L547">
            <v>8</v>
          </cell>
          <cell r="M547">
            <v>14.999998999999999</v>
          </cell>
        </row>
        <row r="548">
          <cell r="A548">
            <v>13</v>
          </cell>
          <cell r="B548">
            <v>2004</v>
          </cell>
          <cell r="C548">
            <v>1</v>
          </cell>
          <cell r="D548" t="str">
            <v>Production</v>
          </cell>
          <cell r="E548" t="str">
            <v>Gas</v>
          </cell>
          <cell r="F548" t="str">
            <v>Conventional</v>
          </cell>
          <cell r="G548">
            <v>0</v>
          </cell>
          <cell r="H548" t="str">
            <v>Production;Gas;Conventional</v>
          </cell>
          <cell r="I548" t="str">
            <v>Gas;Conventional;0;13</v>
          </cell>
          <cell r="J548" t="str">
            <v>SK</v>
          </cell>
          <cell r="K548" t="str">
            <v>MEDIUM</v>
          </cell>
          <cell r="L548">
            <v>1</v>
          </cell>
          <cell r="M548">
            <v>4</v>
          </cell>
        </row>
        <row r="549">
          <cell r="A549">
            <v>13</v>
          </cell>
          <cell r="B549">
            <v>2004</v>
          </cell>
          <cell r="C549">
            <v>1</v>
          </cell>
          <cell r="D549" t="str">
            <v>Production</v>
          </cell>
          <cell r="E549" t="str">
            <v>Gas</v>
          </cell>
          <cell r="F549" t="str">
            <v>Conventional</v>
          </cell>
          <cell r="G549">
            <v>0</v>
          </cell>
          <cell r="H549" t="str">
            <v>Production;Gas;Conventional</v>
          </cell>
          <cell r="I549" t="str">
            <v>Gas;Conventional;0;13</v>
          </cell>
          <cell r="J549" t="str">
            <v>SK</v>
          </cell>
          <cell r="K549" t="str">
            <v>Shallow</v>
          </cell>
          <cell r="L549">
            <v>21</v>
          </cell>
          <cell r="M549">
            <v>81.214285700000005</v>
          </cell>
        </row>
        <row r="550">
          <cell r="A550">
            <v>13</v>
          </cell>
          <cell r="B550">
            <v>2005</v>
          </cell>
          <cell r="C550">
            <v>1</v>
          </cell>
          <cell r="D550" t="str">
            <v>Production</v>
          </cell>
          <cell r="E550" t="str">
            <v>Gas</v>
          </cell>
          <cell r="F550" t="str">
            <v>Conventional</v>
          </cell>
          <cell r="G550">
            <v>0</v>
          </cell>
          <cell r="H550" t="str">
            <v>Production;Gas;Conventional</v>
          </cell>
          <cell r="I550" t="str">
            <v>Gas;Conventional;0;13</v>
          </cell>
          <cell r="J550" t="str">
            <v>SK</v>
          </cell>
          <cell r="K550" t="str">
            <v>Medium</v>
          </cell>
          <cell r="L550">
            <v>2</v>
          </cell>
          <cell r="M550">
            <v>14</v>
          </cell>
        </row>
        <row r="551">
          <cell r="A551">
            <v>13</v>
          </cell>
          <cell r="B551">
            <v>2005</v>
          </cell>
          <cell r="C551">
            <v>1</v>
          </cell>
          <cell r="D551" t="str">
            <v>Production</v>
          </cell>
          <cell r="E551" t="str">
            <v>Gas</v>
          </cell>
          <cell r="F551" t="str">
            <v>Conventional</v>
          </cell>
          <cell r="G551">
            <v>0</v>
          </cell>
          <cell r="H551" t="str">
            <v>Production;Gas;Conventional</v>
          </cell>
          <cell r="I551" t="str">
            <v>Gas;Conventional;0;13</v>
          </cell>
          <cell r="J551" t="str">
            <v>SK</v>
          </cell>
          <cell r="K551" t="str">
            <v>Shallow</v>
          </cell>
          <cell r="L551">
            <v>4</v>
          </cell>
          <cell r="M551">
            <v>2.3284615400000002</v>
          </cell>
        </row>
        <row r="552">
          <cell r="A552">
            <v>13</v>
          </cell>
          <cell r="B552">
            <v>2006</v>
          </cell>
          <cell r="C552">
            <v>1</v>
          </cell>
          <cell r="D552" t="str">
            <v>Production</v>
          </cell>
          <cell r="E552" t="str">
            <v>Gas</v>
          </cell>
          <cell r="F552" t="str">
            <v>Conventional</v>
          </cell>
          <cell r="G552">
            <v>0</v>
          </cell>
          <cell r="H552" t="str">
            <v>Production;Gas;Conventional</v>
          </cell>
          <cell r="I552" t="str">
            <v>Gas;Conventional;0;13</v>
          </cell>
          <cell r="J552" t="str">
            <v>SK</v>
          </cell>
          <cell r="K552" t="str">
            <v>Deep</v>
          </cell>
          <cell r="L552">
            <v>1</v>
          </cell>
          <cell r="M552">
            <v>3</v>
          </cell>
        </row>
        <row r="553">
          <cell r="A553">
            <v>13</v>
          </cell>
          <cell r="B553">
            <v>2006</v>
          </cell>
          <cell r="C553">
            <v>1</v>
          </cell>
          <cell r="D553" t="str">
            <v>Production</v>
          </cell>
          <cell r="E553" t="str">
            <v>Gas</v>
          </cell>
          <cell r="F553" t="str">
            <v>Conventional</v>
          </cell>
          <cell r="G553">
            <v>0</v>
          </cell>
          <cell r="H553" t="str">
            <v>Production;Gas;Conventional</v>
          </cell>
          <cell r="I553" t="str">
            <v>Gas;Conventional;0;13</v>
          </cell>
          <cell r="J553" t="str">
            <v>SK</v>
          </cell>
          <cell r="K553" t="str">
            <v>Medium</v>
          </cell>
          <cell r="L553">
            <v>1</v>
          </cell>
          <cell r="M553">
            <v>9</v>
          </cell>
        </row>
        <row r="554">
          <cell r="A554">
            <v>13</v>
          </cell>
          <cell r="B554">
            <v>2006</v>
          </cell>
          <cell r="C554">
            <v>1</v>
          </cell>
          <cell r="D554" t="str">
            <v>Production</v>
          </cell>
          <cell r="E554" t="str">
            <v>Gas</v>
          </cell>
          <cell r="F554" t="str">
            <v>Conventional</v>
          </cell>
          <cell r="G554">
            <v>0</v>
          </cell>
          <cell r="H554" t="str">
            <v>Production;Gas;Conventional</v>
          </cell>
          <cell r="I554" t="str">
            <v>Gas;Conventional;0;13</v>
          </cell>
          <cell r="J554" t="str">
            <v>SK</v>
          </cell>
          <cell r="K554" t="str">
            <v>Shallow</v>
          </cell>
          <cell r="L554">
            <v>5</v>
          </cell>
          <cell r="M554">
            <v>25</v>
          </cell>
        </row>
        <row r="555">
          <cell r="A555">
            <v>13</v>
          </cell>
          <cell r="B555">
            <v>2007</v>
          </cell>
          <cell r="C555">
            <v>1</v>
          </cell>
          <cell r="D555" t="str">
            <v>Production</v>
          </cell>
          <cell r="E555" t="str">
            <v>Gas</v>
          </cell>
          <cell r="F555" t="str">
            <v>Conventional</v>
          </cell>
          <cell r="G555">
            <v>0</v>
          </cell>
          <cell r="H555" t="str">
            <v>Production;Gas;Conventional</v>
          </cell>
          <cell r="I555" t="str">
            <v>Gas;Conventional;0;13</v>
          </cell>
          <cell r="J555" t="str">
            <v>SK</v>
          </cell>
          <cell r="K555" t="str">
            <v>Shallow</v>
          </cell>
          <cell r="L555">
            <v>1</v>
          </cell>
          <cell r="M555">
            <v>3</v>
          </cell>
        </row>
        <row r="556">
          <cell r="A556">
            <v>1</v>
          </cell>
          <cell r="B556">
            <v>2000</v>
          </cell>
          <cell r="C556">
            <v>1</v>
          </cell>
          <cell r="D556" t="str">
            <v>Production</v>
          </cell>
          <cell r="E556" t="str">
            <v>Oil</v>
          </cell>
          <cell r="F556" t="str">
            <v>Conventional</v>
          </cell>
          <cell r="G556">
            <v>0</v>
          </cell>
          <cell r="H556" t="str">
            <v>Production;Oil;Conventional</v>
          </cell>
          <cell r="I556" t="str">
            <v>Oil;Conventional;0;1</v>
          </cell>
          <cell r="J556" t="str">
            <v>AB</v>
          </cell>
          <cell r="K556" t="str">
            <v>Deep</v>
          </cell>
          <cell r="L556">
            <v>1</v>
          </cell>
          <cell r="M556">
            <v>19</v>
          </cell>
        </row>
        <row r="557">
          <cell r="A557">
            <v>1</v>
          </cell>
          <cell r="B557">
            <v>2000</v>
          </cell>
          <cell r="C557">
            <v>1</v>
          </cell>
          <cell r="D557" t="str">
            <v>Production</v>
          </cell>
          <cell r="E557" t="str">
            <v>Oil</v>
          </cell>
          <cell r="F557" t="str">
            <v>Conventional</v>
          </cell>
          <cell r="G557">
            <v>0</v>
          </cell>
          <cell r="H557" t="str">
            <v>Production;Oil;Conventional</v>
          </cell>
          <cell r="I557" t="str">
            <v>Oil;Conventional;0;1</v>
          </cell>
          <cell r="J557" t="str">
            <v>AB</v>
          </cell>
          <cell r="K557" t="str">
            <v>Medium</v>
          </cell>
          <cell r="L557">
            <v>1</v>
          </cell>
          <cell r="M557">
            <v>82</v>
          </cell>
        </row>
        <row r="558">
          <cell r="A558">
            <v>1</v>
          </cell>
          <cell r="B558">
            <v>2001</v>
          </cell>
          <cell r="C558">
            <v>1</v>
          </cell>
          <cell r="D558" t="str">
            <v>Production</v>
          </cell>
          <cell r="E558" t="str">
            <v>Oil</v>
          </cell>
          <cell r="F558" t="str">
            <v>Conventional</v>
          </cell>
          <cell r="G558">
            <v>0</v>
          </cell>
          <cell r="H558" t="str">
            <v>Production;Oil;Conventional</v>
          </cell>
          <cell r="I558" t="str">
            <v>Oil;Conventional;0;1</v>
          </cell>
          <cell r="J558" t="str">
            <v>AB</v>
          </cell>
          <cell r="K558" t="str">
            <v>Deep</v>
          </cell>
          <cell r="L558">
            <v>1</v>
          </cell>
          <cell r="M558">
            <v>27</v>
          </cell>
        </row>
        <row r="559">
          <cell r="A559">
            <v>1</v>
          </cell>
          <cell r="B559">
            <v>2001</v>
          </cell>
          <cell r="C559">
            <v>1</v>
          </cell>
          <cell r="D559" t="str">
            <v>Production</v>
          </cell>
          <cell r="E559" t="str">
            <v>Oil</v>
          </cell>
          <cell r="F559" t="str">
            <v>Conventional</v>
          </cell>
          <cell r="G559">
            <v>0</v>
          </cell>
          <cell r="H559" t="str">
            <v>Production;Oil;Conventional</v>
          </cell>
          <cell r="I559" t="str">
            <v>Oil;Conventional;0;1</v>
          </cell>
          <cell r="J559" t="str">
            <v>AB</v>
          </cell>
          <cell r="K559" t="str">
            <v>Medium</v>
          </cell>
          <cell r="L559">
            <v>1</v>
          </cell>
          <cell r="M559">
            <v>26</v>
          </cell>
        </row>
        <row r="560">
          <cell r="A560">
            <v>1</v>
          </cell>
          <cell r="B560">
            <v>2001</v>
          </cell>
          <cell r="C560">
            <v>2</v>
          </cell>
          <cell r="D560" t="str">
            <v>Production</v>
          </cell>
          <cell r="E560" t="str">
            <v>Oil</v>
          </cell>
          <cell r="F560" t="str">
            <v>Conventional</v>
          </cell>
          <cell r="G560">
            <v>0</v>
          </cell>
          <cell r="H560" t="str">
            <v>Production;Oil;Conventional</v>
          </cell>
          <cell r="I560" t="str">
            <v>Oil;Conventional;0;1</v>
          </cell>
          <cell r="J560" t="str">
            <v>AB</v>
          </cell>
          <cell r="K560" t="str">
            <v>MEDIUM</v>
          </cell>
          <cell r="L560">
            <v>1</v>
          </cell>
          <cell r="M560">
            <v>21</v>
          </cell>
        </row>
        <row r="561">
          <cell r="A561">
            <v>1</v>
          </cell>
          <cell r="B561">
            <v>2002</v>
          </cell>
          <cell r="C561">
            <v>1</v>
          </cell>
          <cell r="D561" t="str">
            <v>Production</v>
          </cell>
          <cell r="E561" t="str">
            <v>Oil</v>
          </cell>
          <cell r="F561" t="str">
            <v>Conventional</v>
          </cell>
          <cell r="G561">
            <v>0</v>
          </cell>
          <cell r="H561" t="str">
            <v>Production;Oil;Conventional</v>
          </cell>
          <cell r="I561" t="str">
            <v>Oil;Conventional;0;1</v>
          </cell>
          <cell r="J561" t="str">
            <v>AB</v>
          </cell>
          <cell r="K561" t="str">
            <v>MEDIUM</v>
          </cell>
          <cell r="L561">
            <v>1</v>
          </cell>
          <cell r="M561">
            <v>22</v>
          </cell>
        </row>
        <row r="562">
          <cell r="A562">
            <v>1</v>
          </cell>
          <cell r="B562">
            <v>2003</v>
          </cell>
          <cell r="C562">
            <v>1</v>
          </cell>
          <cell r="D562" t="str">
            <v>Production</v>
          </cell>
          <cell r="E562" t="str">
            <v>Oil</v>
          </cell>
          <cell r="F562" t="str">
            <v>Conventional</v>
          </cell>
          <cell r="G562">
            <v>0</v>
          </cell>
          <cell r="H562" t="str">
            <v>Production;Oil;Conventional</v>
          </cell>
          <cell r="I562" t="str">
            <v>Oil;Conventional;0;1</v>
          </cell>
          <cell r="J562" t="str">
            <v>AB</v>
          </cell>
          <cell r="K562" t="str">
            <v>Deep</v>
          </cell>
          <cell r="L562">
            <v>1</v>
          </cell>
          <cell r="M562">
            <v>39</v>
          </cell>
        </row>
        <row r="563">
          <cell r="A563">
            <v>1</v>
          </cell>
          <cell r="B563">
            <v>2003</v>
          </cell>
          <cell r="C563">
            <v>2</v>
          </cell>
          <cell r="D563" t="str">
            <v>Production</v>
          </cell>
          <cell r="E563" t="str">
            <v>Oil</v>
          </cell>
          <cell r="F563" t="str">
            <v>Conventional</v>
          </cell>
          <cell r="G563">
            <v>0</v>
          </cell>
          <cell r="H563" t="str">
            <v>Production;Oil;Conventional</v>
          </cell>
          <cell r="I563" t="str">
            <v>Oil;Conventional;0;1</v>
          </cell>
          <cell r="J563" t="str">
            <v>AB</v>
          </cell>
          <cell r="K563" t="str">
            <v>MEDIUM</v>
          </cell>
          <cell r="L563">
            <v>1</v>
          </cell>
          <cell r="M563">
            <v>41</v>
          </cell>
        </row>
        <row r="564">
          <cell r="A564">
            <v>1</v>
          </cell>
          <cell r="B564">
            <v>2004</v>
          </cell>
          <cell r="C564">
            <v>1</v>
          </cell>
          <cell r="D564" t="str">
            <v>Production</v>
          </cell>
          <cell r="E564" t="str">
            <v>Oil</v>
          </cell>
          <cell r="F564" t="str">
            <v>Conventional</v>
          </cell>
          <cell r="G564">
            <v>0</v>
          </cell>
          <cell r="H564" t="str">
            <v>Production;Oil;Conventional</v>
          </cell>
          <cell r="I564" t="str">
            <v>Oil;Conventional;0;1</v>
          </cell>
          <cell r="J564" t="str">
            <v>AB</v>
          </cell>
          <cell r="K564" t="str">
            <v>Deep</v>
          </cell>
          <cell r="L564">
            <v>3</v>
          </cell>
          <cell r="M564">
            <v>147</v>
          </cell>
        </row>
        <row r="565">
          <cell r="A565">
            <v>1</v>
          </cell>
          <cell r="B565">
            <v>2004</v>
          </cell>
          <cell r="C565">
            <v>1</v>
          </cell>
          <cell r="D565" t="str">
            <v>Production</v>
          </cell>
          <cell r="E565" t="str">
            <v>Oil</v>
          </cell>
          <cell r="F565" t="str">
            <v>Conventional</v>
          </cell>
          <cell r="G565">
            <v>0</v>
          </cell>
          <cell r="H565" t="str">
            <v>Production;Oil;Conventional</v>
          </cell>
          <cell r="I565" t="str">
            <v>Oil;Conventional;0;1</v>
          </cell>
          <cell r="J565" t="str">
            <v>AB</v>
          </cell>
          <cell r="K565" t="str">
            <v>MEDIUM</v>
          </cell>
          <cell r="L565">
            <v>3</v>
          </cell>
          <cell r="M565">
            <v>136</v>
          </cell>
        </row>
        <row r="566">
          <cell r="A566">
            <v>1</v>
          </cell>
          <cell r="B566">
            <v>2004</v>
          </cell>
          <cell r="C566">
            <v>2</v>
          </cell>
          <cell r="D566" t="str">
            <v>Production</v>
          </cell>
          <cell r="E566" t="str">
            <v>Oil</v>
          </cell>
          <cell r="F566" t="str">
            <v>Conventional</v>
          </cell>
          <cell r="G566">
            <v>0</v>
          </cell>
          <cell r="H566" t="str">
            <v>Production;Oil;Conventional</v>
          </cell>
          <cell r="I566" t="str">
            <v>Oil;Conventional;0;1</v>
          </cell>
          <cell r="J566" t="str">
            <v>AB</v>
          </cell>
          <cell r="K566" t="str">
            <v>MEDIUM</v>
          </cell>
          <cell r="L566">
            <v>1</v>
          </cell>
          <cell r="M566">
            <v>36</v>
          </cell>
        </row>
        <row r="567">
          <cell r="A567">
            <v>1</v>
          </cell>
          <cell r="B567">
            <v>2005</v>
          </cell>
          <cell r="C567">
            <v>1</v>
          </cell>
          <cell r="D567" t="str">
            <v>Production</v>
          </cell>
          <cell r="E567" t="str">
            <v>Oil</v>
          </cell>
          <cell r="F567" t="str">
            <v>Conventional</v>
          </cell>
          <cell r="G567">
            <v>0</v>
          </cell>
          <cell r="H567" t="str">
            <v>Production;Oil;Conventional</v>
          </cell>
          <cell r="I567" t="str">
            <v>Oil;Conventional;0;1</v>
          </cell>
          <cell r="J567" t="str">
            <v>AB</v>
          </cell>
          <cell r="K567" t="str">
            <v>Deep</v>
          </cell>
          <cell r="L567">
            <v>5</v>
          </cell>
          <cell r="M567">
            <v>261</v>
          </cell>
        </row>
        <row r="568">
          <cell r="A568">
            <v>1</v>
          </cell>
          <cell r="B568">
            <v>2005</v>
          </cell>
          <cell r="C568">
            <v>1</v>
          </cell>
          <cell r="D568" t="str">
            <v>Production</v>
          </cell>
          <cell r="E568" t="str">
            <v>Oil</v>
          </cell>
          <cell r="F568" t="str">
            <v>Conventional</v>
          </cell>
          <cell r="G568">
            <v>0</v>
          </cell>
          <cell r="H568" t="str">
            <v>Production;Oil;Conventional</v>
          </cell>
          <cell r="I568" t="str">
            <v>Oil;Conventional;0;1</v>
          </cell>
          <cell r="J568" t="str">
            <v>AB</v>
          </cell>
          <cell r="K568" t="str">
            <v>MEDIUM</v>
          </cell>
          <cell r="L568">
            <v>1</v>
          </cell>
          <cell r="M568">
            <v>76</v>
          </cell>
        </row>
        <row r="569">
          <cell r="A569">
            <v>1</v>
          </cell>
          <cell r="B569">
            <v>2006</v>
          </cell>
          <cell r="C569">
            <v>1</v>
          </cell>
          <cell r="D569" t="str">
            <v>Production</v>
          </cell>
          <cell r="E569" t="str">
            <v>Oil</v>
          </cell>
          <cell r="F569" t="str">
            <v>Conventional</v>
          </cell>
          <cell r="G569">
            <v>0</v>
          </cell>
          <cell r="H569" t="str">
            <v>Production;Oil;Conventional</v>
          </cell>
          <cell r="I569" t="str">
            <v>Oil;Conventional;0;1</v>
          </cell>
          <cell r="J569" t="str">
            <v>AB</v>
          </cell>
          <cell r="K569" t="str">
            <v>Deep</v>
          </cell>
          <cell r="L569">
            <v>2</v>
          </cell>
          <cell r="M569">
            <v>93</v>
          </cell>
        </row>
        <row r="570">
          <cell r="A570">
            <v>1</v>
          </cell>
          <cell r="B570">
            <v>2006</v>
          </cell>
          <cell r="C570">
            <v>1</v>
          </cell>
          <cell r="D570" t="str">
            <v>Production</v>
          </cell>
          <cell r="E570" t="str">
            <v>Oil</v>
          </cell>
          <cell r="F570" t="str">
            <v>Conventional</v>
          </cell>
          <cell r="G570">
            <v>0</v>
          </cell>
          <cell r="H570" t="str">
            <v>Production;Oil;Conventional</v>
          </cell>
          <cell r="I570" t="str">
            <v>Oil;Conventional;0;1</v>
          </cell>
          <cell r="J570" t="str">
            <v>AB</v>
          </cell>
          <cell r="K570" t="str">
            <v>MEDIUM</v>
          </cell>
          <cell r="L570">
            <v>1</v>
          </cell>
          <cell r="M570">
            <v>56</v>
          </cell>
        </row>
        <row r="571">
          <cell r="A571">
            <v>2</v>
          </cell>
          <cell r="B571">
            <v>2000</v>
          </cell>
          <cell r="C571">
            <v>1</v>
          </cell>
          <cell r="D571" t="str">
            <v>Production</v>
          </cell>
          <cell r="E571" t="str">
            <v>Oil</v>
          </cell>
          <cell r="F571" t="str">
            <v>Conventional</v>
          </cell>
          <cell r="G571">
            <v>0</v>
          </cell>
          <cell r="H571" t="str">
            <v>Production;Oil;Conventional</v>
          </cell>
          <cell r="I571" t="str">
            <v>Oil;Conventional;0;2</v>
          </cell>
          <cell r="J571" t="str">
            <v>AB</v>
          </cell>
          <cell r="K571" t="str">
            <v>Deep</v>
          </cell>
          <cell r="L571">
            <v>44</v>
          </cell>
          <cell r="M571">
            <v>843</v>
          </cell>
        </row>
        <row r="572">
          <cell r="A572">
            <v>2</v>
          </cell>
          <cell r="B572">
            <v>2000</v>
          </cell>
          <cell r="C572">
            <v>1</v>
          </cell>
          <cell r="D572" t="str">
            <v>Production</v>
          </cell>
          <cell r="E572" t="str">
            <v>Oil</v>
          </cell>
          <cell r="F572" t="str">
            <v>Conventional</v>
          </cell>
          <cell r="G572">
            <v>0</v>
          </cell>
          <cell r="H572" t="str">
            <v>Production;Oil;Conventional</v>
          </cell>
          <cell r="I572" t="str">
            <v>Oil;Conventional;0;2</v>
          </cell>
          <cell r="J572" t="str">
            <v>AB</v>
          </cell>
          <cell r="K572" t="str">
            <v>Medium</v>
          </cell>
          <cell r="L572">
            <v>178</v>
          </cell>
          <cell r="M572">
            <v>1993.7547629999999</v>
          </cell>
        </row>
        <row r="573">
          <cell r="A573">
            <v>2</v>
          </cell>
          <cell r="B573">
            <v>2000</v>
          </cell>
          <cell r="C573">
            <v>1</v>
          </cell>
          <cell r="D573" t="str">
            <v>Production</v>
          </cell>
          <cell r="E573" t="str">
            <v>Oil</v>
          </cell>
          <cell r="F573" t="str">
            <v>Conventional</v>
          </cell>
          <cell r="G573">
            <v>0</v>
          </cell>
          <cell r="H573" t="str">
            <v>Production;Oil;Conventional</v>
          </cell>
          <cell r="I573" t="str">
            <v>Oil;Conventional;0;2</v>
          </cell>
          <cell r="J573" t="str">
            <v>AB</v>
          </cell>
          <cell r="K573" t="str">
            <v>Shallow</v>
          </cell>
          <cell r="L573">
            <v>7</v>
          </cell>
          <cell r="M573">
            <v>45</v>
          </cell>
        </row>
        <row r="574">
          <cell r="A574">
            <v>2</v>
          </cell>
          <cell r="B574">
            <v>2000</v>
          </cell>
          <cell r="C574">
            <v>2</v>
          </cell>
          <cell r="D574" t="str">
            <v>Production</v>
          </cell>
          <cell r="E574" t="str">
            <v>Oil</v>
          </cell>
          <cell r="F574" t="str">
            <v>Conventional</v>
          </cell>
          <cell r="G574">
            <v>0</v>
          </cell>
          <cell r="H574" t="str">
            <v>Production;Oil;Conventional</v>
          </cell>
          <cell r="I574" t="str">
            <v>Oil;Conventional;0;2</v>
          </cell>
          <cell r="J574" t="str">
            <v>AB</v>
          </cell>
          <cell r="K574" t="str">
            <v>Deep</v>
          </cell>
          <cell r="L574">
            <v>4</v>
          </cell>
          <cell r="M574">
            <v>34</v>
          </cell>
        </row>
        <row r="575">
          <cell r="A575">
            <v>2</v>
          </cell>
          <cell r="B575">
            <v>2000</v>
          </cell>
          <cell r="C575">
            <v>2</v>
          </cell>
          <cell r="D575" t="str">
            <v>Production</v>
          </cell>
          <cell r="E575" t="str">
            <v>Oil</v>
          </cell>
          <cell r="F575" t="str">
            <v>Conventional</v>
          </cell>
          <cell r="G575">
            <v>0</v>
          </cell>
          <cell r="H575" t="str">
            <v>Production;Oil;Conventional</v>
          </cell>
          <cell r="I575" t="str">
            <v>Oil;Conventional;0;2</v>
          </cell>
          <cell r="J575" t="str">
            <v>AB</v>
          </cell>
          <cell r="K575" t="str">
            <v>Medium</v>
          </cell>
          <cell r="L575">
            <v>4</v>
          </cell>
          <cell r="M575">
            <v>56</v>
          </cell>
        </row>
        <row r="576">
          <cell r="A576">
            <v>2</v>
          </cell>
          <cell r="B576">
            <v>2001</v>
          </cell>
          <cell r="C576">
            <v>1</v>
          </cell>
          <cell r="D576" t="str">
            <v>Production</v>
          </cell>
          <cell r="E576" t="str">
            <v>Oil</v>
          </cell>
          <cell r="F576" t="str">
            <v>Conventional</v>
          </cell>
          <cell r="G576">
            <v>0</v>
          </cell>
          <cell r="H576" t="str">
            <v>Production;Oil;Conventional</v>
          </cell>
          <cell r="I576" t="str">
            <v>Oil;Conventional;0;2</v>
          </cell>
          <cell r="J576" t="str">
            <v>AB</v>
          </cell>
          <cell r="K576" t="str">
            <v>Deep</v>
          </cell>
          <cell r="L576">
            <v>56</v>
          </cell>
          <cell r="M576">
            <v>1052</v>
          </cell>
        </row>
        <row r="577">
          <cell r="A577">
            <v>2</v>
          </cell>
          <cell r="B577">
            <v>2001</v>
          </cell>
          <cell r="C577">
            <v>1</v>
          </cell>
          <cell r="D577" t="str">
            <v>Production</v>
          </cell>
          <cell r="E577" t="str">
            <v>Oil</v>
          </cell>
          <cell r="F577" t="str">
            <v>Conventional</v>
          </cell>
          <cell r="G577">
            <v>0</v>
          </cell>
          <cell r="H577" t="str">
            <v>Production;Oil;Conventional</v>
          </cell>
          <cell r="I577" t="str">
            <v>Oil;Conventional;0;2</v>
          </cell>
          <cell r="J577" t="str">
            <v>AB</v>
          </cell>
          <cell r="K577" t="str">
            <v>Medium</v>
          </cell>
          <cell r="L577">
            <v>174</v>
          </cell>
          <cell r="M577">
            <v>1961</v>
          </cell>
        </row>
        <row r="578">
          <cell r="A578">
            <v>2</v>
          </cell>
          <cell r="B578">
            <v>2001</v>
          </cell>
          <cell r="C578">
            <v>1</v>
          </cell>
          <cell r="D578" t="str">
            <v>Production</v>
          </cell>
          <cell r="E578" t="str">
            <v>Oil</v>
          </cell>
          <cell r="F578" t="str">
            <v>Conventional</v>
          </cell>
          <cell r="G578">
            <v>0</v>
          </cell>
          <cell r="H578" t="str">
            <v>Production;Oil;Conventional</v>
          </cell>
          <cell r="I578" t="str">
            <v>Oil;Conventional;0;2</v>
          </cell>
          <cell r="J578" t="str">
            <v>AB</v>
          </cell>
          <cell r="K578" t="str">
            <v>Shallow</v>
          </cell>
          <cell r="L578">
            <v>2</v>
          </cell>
          <cell r="M578">
            <v>15</v>
          </cell>
        </row>
        <row r="579">
          <cell r="A579">
            <v>2</v>
          </cell>
          <cell r="B579">
            <v>2001</v>
          </cell>
          <cell r="C579">
            <v>2</v>
          </cell>
          <cell r="D579" t="str">
            <v>Production</v>
          </cell>
          <cell r="E579" t="str">
            <v>Oil</v>
          </cell>
          <cell r="F579" t="str">
            <v>Conventional</v>
          </cell>
          <cell r="G579">
            <v>0</v>
          </cell>
          <cell r="H579" t="str">
            <v>Production;Oil;Conventional</v>
          </cell>
          <cell r="I579" t="str">
            <v>Oil;Conventional;0;2</v>
          </cell>
          <cell r="J579" t="str">
            <v>AB</v>
          </cell>
          <cell r="K579" t="str">
            <v>Deep</v>
          </cell>
          <cell r="L579">
            <v>2</v>
          </cell>
          <cell r="M579">
            <v>37.5</v>
          </cell>
        </row>
        <row r="580">
          <cell r="A580">
            <v>2</v>
          </cell>
          <cell r="B580">
            <v>2001</v>
          </cell>
          <cell r="C580">
            <v>2</v>
          </cell>
          <cell r="D580" t="str">
            <v>Production</v>
          </cell>
          <cell r="E580" t="str">
            <v>Oil</v>
          </cell>
          <cell r="F580" t="str">
            <v>Conventional</v>
          </cell>
          <cell r="G580">
            <v>0</v>
          </cell>
          <cell r="H580" t="str">
            <v>Production;Oil;Conventional</v>
          </cell>
          <cell r="I580" t="str">
            <v>Oil;Conventional;0;2</v>
          </cell>
          <cell r="J580" t="str">
            <v>AB</v>
          </cell>
          <cell r="K580" t="str">
            <v>Medium</v>
          </cell>
          <cell r="L580">
            <v>4</v>
          </cell>
          <cell r="M580">
            <v>63</v>
          </cell>
        </row>
        <row r="581">
          <cell r="A581">
            <v>2</v>
          </cell>
          <cell r="B581">
            <v>2002</v>
          </cell>
          <cell r="C581">
            <v>1</v>
          </cell>
          <cell r="D581" t="str">
            <v>Production</v>
          </cell>
          <cell r="E581" t="str">
            <v>Oil</v>
          </cell>
          <cell r="F581" t="str">
            <v>Conventional</v>
          </cell>
          <cell r="G581">
            <v>0</v>
          </cell>
          <cell r="H581" t="str">
            <v>Production;Oil;Conventional</v>
          </cell>
          <cell r="I581" t="str">
            <v>Oil;Conventional;0;2</v>
          </cell>
          <cell r="J581" t="str">
            <v>AB</v>
          </cell>
          <cell r="K581" t="str">
            <v>Deep</v>
          </cell>
          <cell r="L581">
            <v>45</v>
          </cell>
          <cell r="M581">
            <v>910</v>
          </cell>
        </row>
        <row r="582">
          <cell r="A582">
            <v>2</v>
          </cell>
          <cell r="B582">
            <v>2002</v>
          </cell>
          <cell r="C582">
            <v>1</v>
          </cell>
          <cell r="D582" t="str">
            <v>Production</v>
          </cell>
          <cell r="E582" t="str">
            <v>Oil</v>
          </cell>
          <cell r="F582" t="str">
            <v>Conventional</v>
          </cell>
          <cell r="G582">
            <v>0</v>
          </cell>
          <cell r="H582" t="str">
            <v>Production;Oil;Conventional</v>
          </cell>
          <cell r="I582" t="str">
            <v>Oil;Conventional;0;2</v>
          </cell>
          <cell r="J582" t="str">
            <v>AB</v>
          </cell>
          <cell r="K582" t="str">
            <v>MEDIUM</v>
          </cell>
          <cell r="L582">
            <v>119</v>
          </cell>
          <cell r="M582">
            <v>1296.5</v>
          </cell>
        </row>
        <row r="583">
          <cell r="A583">
            <v>2</v>
          </cell>
          <cell r="B583">
            <v>2002</v>
          </cell>
          <cell r="C583">
            <v>1</v>
          </cell>
          <cell r="D583" t="str">
            <v>Production</v>
          </cell>
          <cell r="E583" t="str">
            <v>Oil</v>
          </cell>
          <cell r="F583" t="str">
            <v>Conventional</v>
          </cell>
          <cell r="G583">
            <v>0</v>
          </cell>
          <cell r="H583" t="str">
            <v>Production;Oil;Conventional</v>
          </cell>
          <cell r="I583" t="str">
            <v>Oil;Conventional;0;2</v>
          </cell>
          <cell r="J583" t="str">
            <v>AB</v>
          </cell>
          <cell r="K583" t="str">
            <v>SHALLOW</v>
          </cell>
          <cell r="L583">
            <v>1</v>
          </cell>
          <cell r="M583">
            <v>2.5</v>
          </cell>
        </row>
        <row r="584">
          <cell r="A584">
            <v>2</v>
          </cell>
          <cell r="B584">
            <v>2002</v>
          </cell>
          <cell r="C584">
            <v>2</v>
          </cell>
          <cell r="D584" t="str">
            <v>Production</v>
          </cell>
          <cell r="E584" t="str">
            <v>Oil</v>
          </cell>
          <cell r="F584" t="str">
            <v>Conventional</v>
          </cell>
          <cell r="G584">
            <v>0</v>
          </cell>
          <cell r="H584" t="str">
            <v>Production;Oil;Conventional</v>
          </cell>
          <cell r="I584" t="str">
            <v>Oil;Conventional;0;2</v>
          </cell>
          <cell r="J584" t="str">
            <v>AB</v>
          </cell>
          <cell r="K584" t="str">
            <v>Deep</v>
          </cell>
          <cell r="L584">
            <v>2</v>
          </cell>
          <cell r="M584">
            <v>18</v>
          </cell>
        </row>
        <row r="585">
          <cell r="A585">
            <v>2</v>
          </cell>
          <cell r="B585">
            <v>2002</v>
          </cell>
          <cell r="C585">
            <v>2</v>
          </cell>
          <cell r="D585" t="str">
            <v>Production</v>
          </cell>
          <cell r="E585" t="str">
            <v>Oil</v>
          </cell>
          <cell r="F585" t="str">
            <v>Conventional</v>
          </cell>
          <cell r="G585">
            <v>0</v>
          </cell>
          <cell r="H585" t="str">
            <v>Production;Oil;Conventional</v>
          </cell>
          <cell r="I585" t="str">
            <v>Oil;Conventional;0;2</v>
          </cell>
          <cell r="J585" t="str">
            <v>AB</v>
          </cell>
          <cell r="K585" t="str">
            <v>MEDIUM</v>
          </cell>
          <cell r="L585">
            <v>1</v>
          </cell>
          <cell r="M585">
            <v>35</v>
          </cell>
        </row>
        <row r="586">
          <cell r="A586">
            <v>2</v>
          </cell>
          <cell r="B586">
            <v>2002</v>
          </cell>
          <cell r="C586">
            <v>3</v>
          </cell>
          <cell r="D586" t="str">
            <v>Production</v>
          </cell>
          <cell r="E586" t="str">
            <v>Oil</v>
          </cell>
          <cell r="F586" t="str">
            <v>Conventional</v>
          </cell>
          <cell r="G586">
            <v>0</v>
          </cell>
          <cell r="H586" t="str">
            <v>Production;Oil;Conventional</v>
          </cell>
          <cell r="I586" t="str">
            <v>Oil;Conventional;0;2</v>
          </cell>
          <cell r="J586" t="str">
            <v>AB</v>
          </cell>
          <cell r="K586" t="str">
            <v>Medium</v>
          </cell>
          <cell r="L586">
            <v>1</v>
          </cell>
          <cell r="M586">
            <v>33</v>
          </cell>
        </row>
        <row r="587">
          <cell r="A587">
            <v>2</v>
          </cell>
          <cell r="B587">
            <v>2003</v>
          </cell>
          <cell r="C587">
            <v>1</v>
          </cell>
          <cell r="D587" t="str">
            <v>Production</v>
          </cell>
          <cell r="E587" t="str">
            <v>Oil</v>
          </cell>
          <cell r="F587" t="str">
            <v>Conventional</v>
          </cell>
          <cell r="G587">
            <v>0</v>
          </cell>
          <cell r="H587" t="str">
            <v>Production;Oil;Conventional</v>
          </cell>
          <cell r="I587" t="str">
            <v>Oil;Conventional;0;2</v>
          </cell>
          <cell r="J587" t="str">
            <v>AB</v>
          </cell>
          <cell r="K587" t="str">
            <v>Deep</v>
          </cell>
          <cell r="L587">
            <v>48</v>
          </cell>
          <cell r="M587">
            <v>1156</v>
          </cell>
        </row>
        <row r="588">
          <cell r="A588">
            <v>2</v>
          </cell>
          <cell r="B588">
            <v>2003</v>
          </cell>
          <cell r="C588">
            <v>1</v>
          </cell>
          <cell r="D588" t="str">
            <v>Production</v>
          </cell>
          <cell r="E588" t="str">
            <v>Oil</v>
          </cell>
          <cell r="F588" t="str">
            <v>Conventional</v>
          </cell>
          <cell r="G588">
            <v>0</v>
          </cell>
          <cell r="H588" t="str">
            <v>Production;Oil;Conventional</v>
          </cell>
          <cell r="I588" t="str">
            <v>Oil;Conventional;0;2</v>
          </cell>
          <cell r="J588" t="str">
            <v>AB</v>
          </cell>
          <cell r="K588" t="str">
            <v>Medium</v>
          </cell>
          <cell r="L588">
            <v>282</v>
          </cell>
          <cell r="M588">
            <v>2446.5</v>
          </cell>
        </row>
        <row r="589">
          <cell r="A589">
            <v>2</v>
          </cell>
          <cell r="B589">
            <v>2003</v>
          </cell>
          <cell r="C589">
            <v>1</v>
          </cell>
          <cell r="D589" t="str">
            <v>Production</v>
          </cell>
          <cell r="E589" t="str">
            <v>Oil</v>
          </cell>
          <cell r="F589" t="str">
            <v>Conventional</v>
          </cell>
          <cell r="G589">
            <v>0</v>
          </cell>
          <cell r="H589" t="str">
            <v>Production;Oil;Conventional</v>
          </cell>
          <cell r="I589" t="str">
            <v>Oil;Conventional;0;2</v>
          </cell>
          <cell r="J589" t="str">
            <v>AB</v>
          </cell>
          <cell r="K589" t="str">
            <v>SHALLOW</v>
          </cell>
          <cell r="L589">
            <v>10</v>
          </cell>
          <cell r="M589">
            <v>56</v>
          </cell>
        </row>
        <row r="590">
          <cell r="A590">
            <v>2</v>
          </cell>
          <cell r="B590">
            <v>2003</v>
          </cell>
          <cell r="C590">
            <v>2</v>
          </cell>
          <cell r="D590" t="str">
            <v>Production</v>
          </cell>
          <cell r="E590" t="str">
            <v>Oil</v>
          </cell>
          <cell r="F590" t="str">
            <v>Conventional</v>
          </cell>
          <cell r="G590">
            <v>0</v>
          </cell>
          <cell r="H590" t="str">
            <v>Production;Oil;Conventional</v>
          </cell>
          <cell r="I590" t="str">
            <v>Oil;Conventional;0;2</v>
          </cell>
          <cell r="J590" t="str">
            <v>AB</v>
          </cell>
          <cell r="K590" t="str">
            <v>Deep</v>
          </cell>
          <cell r="L590">
            <v>1</v>
          </cell>
          <cell r="M590">
            <v>20</v>
          </cell>
        </row>
        <row r="591">
          <cell r="A591">
            <v>2</v>
          </cell>
          <cell r="B591">
            <v>2003</v>
          </cell>
          <cell r="C591">
            <v>2</v>
          </cell>
          <cell r="D591" t="str">
            <v>Production</v>
          </cell>
          <cell r="E591" t="str">
            <v>Oil</v>
          </cell>
          <cell r="F591" t="str">
            <v>Conventional</v>
          </cell>
          <cell r="G591">
            <v>0</v>
          </cell>
          <cell r="H591" t="str">
            <v>Production;Oil;Conventional</v>
          </cell>
          <cell r="I591" t="str">
            <v>Oil;Conventional;0;2</v>
          </cell>
          <cell r="J591" t="str">
            <v>AB</v>
          </cell>
          <cell r="K591" t="str">
            <v>Medium</v>
          </cell>
          <cell r="L591">
            <v>3</v>
          </cell>
          <cell r="M591">
            <v>63</v>
          </cell>
        </row>
        <row r="592">
          <cell r="A592">
            <v>2</v>
          </cell>
          <cell r="B592">
            <v>2004</v>
          </cell>
          <cell r="C592">
            <v>1</v>
          </cell>
          <cell r="D592" t="str">
            <v>Production</v>
          </cell>
          <cell r="E592" t="str">
            <v>Oil</v>
          </cell>
          <cell r="F592" t="str">
            <v>Conventional</v>
          </cell>
          <cell r="G592">
            <v>0</v>
          </cell>
          <cell r="H592" t="str">
            <v>Production;Oil;Conventional</v>
          </cell>
          <cell r="I592" t="str">
            <v>Oil;Conventional;0;2</v>
          </cell>
          <cell r="J592" t="str">
            <v>AB</v>
          </cell>
          <cell r="K592" t="str">
            <v>Deep</v>
          </cell>
          <cell r="L592">
            <v>43</v>
          </cell>
          <cell r="M592">
            <v>957.83333300000004</v>
          </cell>
        </row>
        <row r="593">
          <cell r="A593">
            <v>2</v>
          </cell>
          <cell r="B593">
            <v>2004</v>
          </cell>
          <cell r="C593">
            <v>1</v>
          </cell>
          <cell r="D593" t="str">
            <v>Production</v>
          </cell>
          <cell r="E593" t="str">
            <v>Oil</v>
          </cell>
          <cell r="F593" t="str">
            <v>Conventional</v>
          </cell>
          <cell r="G593">
            <v>0</v>
          </cell>
          <cell r="H593" t="str">
            <v>Production;Oil;Conventional</v>
          </cell>
          <cell r="I593" t="str">
            <v>Oil;Conventional;0;2</v>
          </cell>
          <cell r="J593" t="str">
            <v>AB</v>
          </cell>
          <cell r="K593" t="str">
            <v>Medium</v>
          </cell>
          <cell r="L593">
            <v>241</v>
          </cell>
          <cell r="M593">
            <v>2297.5</v>
          </cell>
        </row>
        <row r="594">
          <cell r="A594">
            <v>2</v>
          </cell>
          <cell r="B594">
            <v>2004</v>
          </cell>
          <cell r="C594">
            <v>1</v>
          </cell>
          <cell r="D594" t="str">
            <v>Production</v>
          </cell>
          <cell r="E594" t="str">
            <v>Oil</v>
          </cell>
          <cell r="F594" t="str">
            <v>Conventional</v>
          </cell>
          <cell r="G594">
            <v>0</v>
          </cell>
          <cell r="H594" t="str">
            <v>Production;Oil;Conventional</v>
          </cell>
          <cell r="I594" t="str">
            <v>Oil;Conventional;0;2</v>
          </cell>
          <cell r="J594" t="str">
            <v>AB</v>
          </cell>
          <cell r="K594" t="str">
            <v>Shallow</v>
          </cell>
          <cell r="L594">
            <v>2</v>
          </cell>
          <cell r="M594">
            <v>8</v>
          </cell>
        </row>
        <row r="595">
          <cell r="A595">
            <v>2</v>
          </cell>
          <cell r="B595">
            <v>2004</v>
          </cell>
          <cell r="C595">
            <v>2</v>
          </cell>
          <cell r="D595" t="str">
            <v>Production</v>
          </cell>
          <cell r="E595" t="str">
            <v>Oil</v>
          </cell>
          <cell r="F595" t="str">
            <v>Conventional</v>
          </cell>
          <cell r="G595">
            <v>0</v>
          </cell>
          <cell r="H595" t="str">
            <v>Production;Oil;Conventional</v>
          </cell>
          <cell r="I595" t="str">
            <v>Oil;Conventional;0;2</v>
          </cell>
          <cell r="J595" t="str">
            <v>AB</v>
          </cell>
          <cell r="K595" t="str">
            <v>Deep</v>
          </cell>
          <cell r="L595">
            <v>6</v>
          </cell>
          <cell r="M595">
            <v>206</v>
          </cell>
        </row>
        <row r="596">
          <cell r="A596">
            <v>2</v>
          </cell>
          <cell r="B596">
            <v>2004</v>
          </cell>
          <cell r="C596">
            <v>2</v>
          </cell>
          <cell r="D596" t="str">
            <v>Production</v>
          </cell>
          <cell r="E596" t="str">
            <v>Oil</v>
          </cell>
          <cell r="F596" t="str">
            <v>Conventional</v>
          </cell>
          <cell r="G596">
            <v>0</v>
          </cell>
          <cell r="H596" t="str">
            <v>Production;Oil;Conventional</v>
          </cell>
          <cell r="I596" t="str">
            <v>Oil;Conventional;0;2</v>
          </cell>
          <cell r="J596" t="str">
            <v>AB</v>
          </cell>
          <cell r="K596" t="str">
            <v>Medium</v>
          </cell>
          <cell r="L596">
            <v>4</v>
          </cell>
          <cell r="M596">
            <v>40</v>
          </cell>
        </row>
        <row r="597">
          <cell r="A597">
            <v>2</v>
          </cell>
          <cell r="B597">
            <v>2005</v>
          </cell>
          <cell r="C597">
            <v>1</v>
          </cell>
          <cell r="D597" t="str">
            <v>Production</v>
          </cell>
          <cell r="E597" t="str">
            <v>Oil</v>
          </cell>
          <cell r="F597" t="str">
            <v>Conventional</v>
          </cell>
          <cell r="G597">
            <v>0</v>
          </cell>
          <cell r="H597" t="str">
            <v>Production;Oil;Conventional</v>
          </cell>
          <cell r="I597" t="str">
            <v>Oil;Conventional;0;2</v>
          </cell>
          <cell r="J597" t="str">
            <v>AB</v>
          </cell>
          <cell r="K597" t="str">
            <v>Deep</v>
          </cell>
          <cell r="L597">
            <v>67</v>
          </cell>
          <cell r="M597">
            <v>1187</v>
          </cell>
        </row>
        <row r="598">
          <cell r="A598">
            <v>2</v>
          </cell>
          <cell r="B598">
            <v>2005</v>
          </cell>
          <cell r="C598">
            <v>1</v>
          </cell>
          <cell r="D598" t="str">
            <v>Production</v>
          </cell>
          <cell r="E598" t="str">
            <v>Oil</v>
          </cell>
          <cell r="F598" t="str">
            <v>Conventional</v>
          </cell>
          <cell r="G598">
            <v>0</v>
          </cell>
          <cell r="H598" t="str">
            <v>Production;Oil;Conventional</v>
          </cell>
          <cell r="I598" t="str">
            <v>Oil;Conventional;0;2</v>
          </cell>
          <cell r="J598" t="str">
            <v>AB</v>
          </cell>
          <cell r="K598" t="str">
            <v>MEDIUM</v>
          </cell>
          <cell r="L598">
            <v>259</v>
          </cell>
          <cell r="M598">
            <v>2515</v>
          </cell>
        </row>
        <row r="599">
          <cell r="A599">
            <v>2</v>
          </cell>
          <cell r="B599">
            <v>2005</v>
          </cell>
          <cell r="C599">
            <v>1</v>
          </cell>
          <cell r="D599" t="str">
            <v>Production</v>
          </cell>
          <cell r="E599" t="str">
            <v>Oil</v>
          </cell>
          <cell r="F599" t="str">
            <v>Conventional</v>
          </cell>
          <cell r="G599">
            <v>0</v>
          </cell>
          <cell r="H599" t="str">
            <v>Production;Oil;Conventional</v>
          </cell>
          <cell r="I599" t="str">
            <v>Oil;Conventional;0;2</v>
          </cell>
          <cell r="J599" t="str">
            <v>AB</v>
          </cell>
          <cell r="K599" t="str">
            <v>Shallow</v>
          </cell>
          <cell r="L599">
            <v>14</v>
          </cell>
          <cell r="M599">
            <v>70.662302100000005</v>
          </cell>
        </row>
        <row r="600">
          <cell r="A600">
            <v>2</v>
          </cell>
          <cell r="B600">
            <v>2005</v>
          </cell>
          <cell r="C600">
            <v>2</v>
          </cell>
          <cell r="D600" t="str">
            <v>Production</v>
          </cell>
          <cell r="E600" t="str">
            <v>Oil</v>
          </cell>
          <cell r="F600" t="str">
            <v>Conventional</v>
          </cell>
          <cell r="G600">
            <v>0</v>
          </cell>
          <cell r="H600" t="str">
            <v>Production;Oil;Conventional</v>
          </cell>
          <cell r="I600" t="str">
            <v>Oil;Conventional;0;2</v>
          </cell>
          <cell r="J600" t="str">
            <v>AB</v>
          </cell>
          <cell r="K600" t="str">
            <v>Deep</v>
          </cell>
          <cell r="L600">
            <v>2</v>
          </cell>
          <cell r="M600">
            <v>25</v>
          </cell>
        </row>
        <row r="601">
          <cell r="A601">
            <v>2</v>
          </cell>
          <cell r="B601">
            <v>2005</v>
          </cell>
          <cell r="C601">
            <v>2</v>
          </cell>
          <cell r="D601" t="str">
            <v>Production</v>
          </cell>
          <cell r="E601" t="str">
            <v>Oil</v>
          </cell>
          <cell r="F601" t="str">
            <v>Conventional</v>
          </cell>
          <cell r="G601">
            <v>0</v>
          </cell>
          <cell r="H601" t="str">
            <v>Production;Oil;Conventional</v>
          </cell>
          <cell r="I601" t="str">
            <v>Oil;Conventional;0;2</v>
          </cell>
          <cell r="J601" t="str">
            <v>AB</v>
          </cell>
          <cell r="K601" t="str">
            <v>Medium</v>
          </cell>
          <cell r="L601">
            <v>1</v>
          </cell>
          <cell r="M601">
            <v>1</v>
          </cell>
        </row>
        <row r="602">
          <cell r="A602">
            <v>2</v>
          </cell>
          <cell r="B602">
            <v>2006</v>
          </cell>
          <cell r="C602">
            <v>1</v>
          </cell>
          <cell r="D602" t="str">
            <v>Production</v>
          </cell>
          <cell r="E602" t="str">
            <v>Oil</v>
          </cell>
          <cell r="F602" t="str">
            <v>Conventional</v>
          </cell>
          <cell r="G602">
            <v>0</v>
          </cell>
          <cell r="H602" t="str">
            <v>Production;Oil;Conventional</v>
          </cell>
          <cell r="I602" t="str">
            <v>Oil;Conventional;0;2</v>
          </cell>
          <cell r="J602" t="str">
            <v>AB</v>
          </cell>
          <cell r="K602" t="str">
            <v>Deep</v>
          </cell>
          <cell r="L602">
            <v>68</v>
          </cell>
          <cell r="M602">
            <v>1593.5</v>
          </cell>
        </row>
        <row r="603">
          <cell r="A603">
            <v>2</v>
          </cell>
          <cell r="B603">
            <v>2006</v>
          </cell>
          <cell r="C603">
            <v>1</v>
          </cell>
          <cell r="D603" t="str">
            <v>Production</v>
          </cell>
          <cell r="E603" t="str">
            <v>Oil</v>
          </cell>
          <cell r="F603" t="str">
            <v>Conventional</v>
          </cell>
          <cell r="G603">
            <v>0</v>
          </cell>
          <cell r="H603" t="str">
            <v>Production;Oil;Conventional</v>
          </cell>
          <cell r="I603" t="str">
            <v>Oil;Conventional;0;2</v>
          </cell>
          <cell r="J603" t="str">
            <v>AB</v>
          </cell>
          <cell r="K603" t="str">
            <v>Medium</v>
          </cell>
          <cell r="L603">
            <v>257</v>
          </cell>
          <cell r="M603">
            <v>2702</v>
          </cell>
        </row>
        <row r="604">
          <cell r="A604">
            <v>2</v>
          </cell>
          <cell r="B604">
            <v>2006</v>
          </cell>
          <cell r="C604">
            <v>1</v>
          </cell>
          <cell r="D604" t="str">
            <v>Production</v>
          </cell>
          <cell r="E604" t="str">
            <v>Oil</v>
          </cell>
          <cell r="F604" t="str">
            <v>Conventional</v>
          </cell>
          <cell r="G604">
            <v>0</v>
          </cell>
          <cell r="H604" t="str">
            <v>Production;Oil;Conventional</v>
          </cell>
          <cell r="I604" t="str">
            <v>Oil;Conventional;0;2</v>
          </cell>
          <cell r="J604" t="str">
            <v>AB</v>
          </cell>
          <cell r="K604" t="str">
            <v>Shallow</v>
          </cell>
          <cell r="L604">
            <v>11</v>
          </cell>
          <cell r="M604">
            <v>87.416667000000004</v>
          </cell>
        </row>
        <row r="605">
          <cell r="A605">
            <v>2</v>
          </cell>
          <cell r="B605">
            <v>2006</v>
          </cell>
          <cell r="C605">
            <v>2</v>
          </cell>
          <cell r="D605" t="str">
            <v>Production</v>
          </cell>
          <cell r="E605" t="str">
            <v>Oil</v>
          </cell>
          <cell r="F605" t="str">
            <v>Conventional</v>
          </cell>
          <cell r="G605">
            <v>0</v>
          </cell>
          <cell r="H605" t="str">
            <v>Production;Oil;Conventional</v>
          </cell>
          <cell r="I605" t="str">
            <v>Oil;Conventional;0;2</v>
          </cell>
          <cell r="J605" t="str">
            <v>AB</v>
          </cell>
          <cell r="K605" t="str">
            <v>Deep</v>
          </cell>
          <cell r="L605">
            <v>2</v>
          </cell>
          <cell r="M605">
            <v>59</v>
          </cell>
        </row>
        <row r="606">
          <cell r="A606">
            <v>2</v>
          </cell>
          <cell r="B606">
            <v>2006</v>
          </cell>
          <cell r="C606">
            <v>2</v>
          </cell>
          <cell r="D606" t="str">
            <v>Production</v>
          </cell>
          <cell r="E606" t="str">
            <v>Oil</v>
          </cell>
          <cell r="F606" t="str">
            <v>Conventional</v>
          </cell>
          <cell r="G606">
            <v>0</v>
          </cell>
          <cell r="H606" t="str">
            <v>Production;Oil;Conventional</v>
          </cell>
          <cell r="I606" t="str">
            <v>Oil;Conventional;0;2</v>
          </cell>
          <cell r="J606" t="str">
            <v>AB</v>
          </cell>
          <cell r="K606" t="str">
            <v>Medium</v>
          </cell>
          <cell r="L606">
            <v>5</v>
          </cell>
          <cell r="M606">
            <v>129.35</v>
          </cell>
        </row>
        <row r="607">
          <cell r="A607">
            <v>2</v>
          </cell>
          <cell r="B607">
            <v>2006</v>
          </cell>
          <cell r="C607">
            <v>3</v>
          </cell>
          <cell r="D607" t="str">
            <v>Production</v>
          </cell>
          <cell r="E607" t="str">
            <v>Oil</v>
          </cell>
          <cell r="F607" t="str">
            <v>Conventional</v>
          </cell>
          <cell r="G607">
            <v>0</v>
          </cell>
          <cell r="H607" t="str">
            <v>Production;Oil;Conventional</v>
          </cell>
          <cell r="I607" t="str">
            <v>Oil;Conventional;0;2</v>
          </cell>
          <cell r="J607" t="str">
            <v>AB</v>
          </cell>
          <cell r="K607" t="str">
            <v>Deep</v>
          </cell>
          <cell r="L607">
            <v>1</v>
          </cell>
          <cell r="M607">
            <v>12</v>
          </cell>
        </row>
        <row r="608">
          <cell r="A608">
            <v>2</v>
          </cell>
          <cell r="B608">
            <v>2007</v>
          </cell>
          <cell r="C608">
            <v>1</v>
          </cell>
          <cell r="D608" t="str">
            <v>Production</v>
          </cell>
          <cell r="E608" t="str">
            <v>Oil</v>
          </cell>
          <cell r="F608" t="str">
            <v>Conventional</v>
          </cell>
          <cell r="G608">
            <v>0</v>
          </cell>
          <cell r="H608" t="str">
            <v>Production;Oil;Conventional</v>
          </cell>
          <cell r="I608" t="str">
            <v>Oil;Conventional;0;2</v>
          </cell>
          <cell r="J608" t="str">
            <v>AB</v>
          </cell>
          <cell r="K608" t="str">
            <v>Deep</v>
          </cell>
          <cell r="L608">
            <v>3</v>
          </cell>
          <cell r="M608">
            <v>52</v>
          </cell>
        </row>
        <row r="609">
          <cell r="A609">
            <v>2</v>
          </cell>
          <cell r="B609">
            <v>2007</v>
          </cell>
          <cell r="C609">
            <v>1</v>
          </cell>
          <cell r="D609" t="str">
            <v>Production</v>
          </cell>
          <cell r="E609" t="str">
            <v>Oil</v>
          </cell>
          <cell r="F609" t="str">
            <v>Conventional</v>
          </cell>
          <cell r="G609">
            <v>0</v>
          </cell>
          <cell r="H609" t="str">
            <v>Production;Oil;Conventional</v>
          </cell>
          <cell r="I609" t="str">
            <v>Oil;Conventional;0;2</v>
          </cell>
          <cell r="J609" t="str">
            <v>AB</v>
          </cell>
          <cell r="K609" t="str">
            <v>Medium</v>
          </cell>
          <cell r="L609">
            <v>23</v>
          </cell>
          <cell r="M609">
            <v>249</v>
          </cell>
        </row>
        <row r="610">
          <cell r="A610">
            <v>2</v>
          </cell>
          <cell r="B610">
            <v>2007</v>
          </cell>
          <cell r="C610">
            <v>1</v>
          </cell>
          <cell r="D610" t="str">
            <v>Production</v>
          </cell>
          <cell r="E610" t="str">
            <v>Oil</v>
          </cell>
          <cell r="F610" t="str">
            <v>Conventional</v>
          </cell>
          <cell r="G610">
            <v>0</v>
          </cell>
          <cell r="H610" t="str">
            <v>Production;Oil;Conventional</v>
          </cell>
          <cell r="I610" t="str">
            <v>Oil;Conventional;0;2</v>
          </cell>
          <cell r="J610" t="str">
            <v>AB</v>
          </cell>
          <cell r="K610" t="str">
            <v>Shallow</v>
          </cell>
          <cell r="L610">
            <v>3</v>
          </cell>
          <cell r="M610">
            <v>13</v>
          </cell>
        </row>
        <row r="611">
          <cell r="A611">
            <v>3</v>
          </cell>
          <cell r="B611">
            <v>2000</v>
          </cell>
          <cell r="C611">
            <v>1</v>
          </cell>
          <cell r="D611" t="str">
            <v>Production</v>
          </cell>
          <cell r="E611" t="str">
            <v>Oil</v>
          </cell>
          <cell r="F611" t="str">
            <v>Conventional</v>
          </cell>
          <cell r="G611">
            <v>0</v>
          </cell>
          <cell r="H611" t="str">
            <v>Production;Oil;Conventional</v>
          </cell>
          <cell r="I611" t="str">
            <v>Oil;Conventional;0;3</v>
          </cell>
          <cell r="J611" t="str">
            <v>AB</v>
          </cell>
          <cell r="K611" t="str">
            <v>Deep</v>
          </cell>
          <cell r="L611">
            <v>8</v>
          </cell>
          <cell r="M611">
            <v>257</v>
          </cell>
        </row>
        <row r="612">
          <cell r="A612">
            <v>3</v>
          </cell>
          <cell r="B612">
            <v>2000</v>
          </cell>
          <cell r="C612">
            <v>1</v>
          </cell>
          <cell r="D612" t="str">
            <v>Production</v>
          </cell>
          <cell r="E612" t="str">
            <v>Oil</v>
          </cell>
          <cell r="F612" t="str">
            <v>Conventional</v>
          </cell>
          <cell r="G612">
            <v>0</v>
          </cell>
          <cell r="H612" t="str">
            <v>Production;Oil;Conventional</v>
          </cell>
          <cell r="I612" t="str">
            <v>Oil;Conventional;0;3</v>
          </cell>
          <cell r="J612" t="str">
            <v>AB</v>
          </cell>
          <cell r="K612" t="str">
            <v>Medium</v>
          </cell>
          <cell r="L612">
            <v>384</v>
          </cell>
          <cell r="M612">
            <v>2892.0785640000004</v>
          </cell>
        </row>
        <row r="613">
          <cell r="A613">
            <v>3</v>
          </cell>
          <cell r="B613">
            <v>2000</v>
          </cell>
          <cell r="C613">
            <v>1</v>
          </cell>
          <cell r="D613" t="str">
            <v>Production</v>
          </cell>
          <cell r="E613" t="str">
            <v>Oil</v>
          </cell>
          <cell r="F613" t="str">
            <v>Conventional</v>
          </cell>
          <cell r="G613">
            <v>0</v>
          </cell>
          <cell r="H613" t="str">
            <v>Production;Oil;Conventional</v>
          </cell>
          <cell r="I613" t="str">
            <v>Oil;Conventional;0;3</v>
          </cell>
          <cell r="J613" t="str">
            <v>AB</v>
          </cell>
          <cell r="K613" t="str">
            <v>Shallow</v>
          </cell>
          <cell r="L613">
            <v>168</v>
          </cell>
          <cell r="M613">
            <v>938.72499200000016</v>
          </cell>
        </row>
        <row r="614">
          <cell r="A614">
            <v>3</v>
          </cell>
          <cell r="B614">
            <v>2000</v>
          </cell>
          <cell r="C614">
            <v>2</v>
          </cell>
          <cell r="D614" t="str">
            <v>Production</v>
          </cell>
          <cell r="E614" t="str">
            <v>Oil</v>
          </cell>
          <cell r="F614" t="str">
            <v>Conventional</v>
          </cell>
          <cell r="G614">
            <v>0</v>
          </cell>
          <cell r="H614" t="str">
            <v>Production;Oil;Conventional</v>
          </cell>
          <cell r="I614" t="str">
            <v>Oil;Conventional;0;3</v>
          </cell>
          <cell r="J614" t="str">
            <v>AB</v>
          </cell>
          <cell r="K614" t="str">
            <v>Deep</v>
          </cell>
          <cell r="L614">
            <v>1</v>
          </cell>
          <cell r="M614">
            <v>29</v>
          </cell>
        </row>
        <row r="615">
          <cell r="A615">
            <v>3</v>
          </cell>
          <cell r="B615">
            <v>2000</v>
          </cell>
          <cell r="C615">
            <v>2</v>
          </cell>
          <cell r="D615" t="str">
            <v>Production</v>
          </cell>
          <cell r="E615" t="str">
            <v>Oil</v>
          </cell>
          <cell r="F615" t="str">
            <v>Conventional</v>
          </cell>
          <cell r="G615">
            <v>0</v>
          </cell>
          <cell r="H615" t="str">
            <v>Production;Oil;Conventional</v>
          </cell>
          <cell r="I615" t="str">
            <v>Oil;Conventional;0;3</v>
          </cell>
          <cell r="J615" t="str">
            <v>AB</v>
          </cell>
          <cell r="K615" t="str">
            <v>Medium</v>
          </cell>
          <cell r="L615">
            <v>1</v>
          </cell>
          <cell r="M615">
            <v>5</v>
          </cell>
        </row>
        <row r="616">
          <cell r="A616">
            <v>3</v>
          </cell>
          <cell r="B616">
            <v>2001</v>
          </cell>
          <cell r="C616">
            <v>1</v>
          </cell>
          <cell r="D616" t="str">
            <v>Production</v>
          </cell>
          <cell r="E616" t="str">
            <v>Oil</v>
          </cell>
          <cell r="F616" t="str">
            <v>Conventional</v>
          </cell>
          <cell r="G616">
            <v>0</v>
          </cell>
          <cell r="H616" t="str">
            <v>Production;Oil;Conventional</v>
          </cell>
          <cell r="I616" t="str">
            <v>Oil;Conventional;0;3</v>
          </cell>
          <cell r="J616" t="str">
            <v>AB</v>
          </cell>
          <cell r="K616" t="str">
            <v>Deep</v>
          </cell>
          <cell r="L616">
            <v>1</v>
          </cell>
          <cell r="M616">
            <v>36</v>
          </cell>
        </row>
        <row r="617">
          <cell r="A617">
            <v>3</v>
          </cell>
          <cell r="B617">
            <v>2001</v>
          </cell>
          <cell r="C617">
            <v>1</v>
          </cell>
          <cell r="D617" t="str">
            <v>Production</v>
          </cell>
          <cell r="E617" t="str">
            <v>Oil</v>
          </cell>
          <cell r="F617" t="str">
            <v>Conventional</v>
          </cell>
          <cell r="G617">
            <v>0</v>
          </cell>
          <cell r="H617" t="str">
            <v>Production;Oil;Conventional</v>
          </cell>
          <cell r="I617" t="str">
            <v>Oil;Conventional;0;3</v>
          </cell>
          <cell r="J617" t="str">
            <v>AB</v>
          </cell>
          <cell r="K617" t="str">
            <v>Medium</v>
          </cell>
          <cell r="L617">
            <v>321</v>
          </cell>
          <cell r="M617">
            <v>2359.2999970000001</v>
          </cell>
        </row>
        <row r="618">
          <cell r="A618">
            <v>3</v>
          </cell>
          <cell r="B618">
            <v>2001</v>
          </cell>
          <cell r="C618">
            <v>1</v>
          </cell>
          <cell r="D618" t="str">
            <v>Production</v>
          </cell>
          <cell r="E618" t="str">
            <v>Oil</v>
          </cell>
          <cell r="F618" t="str">
            <v>Conventional</v>
          </cell>
          <cell r="G618">
            <v>0</v>
          </cell>
          <cell r="H618" t="str">
            <v>Production;Oil;Conventional</v>
          </cell>
          <cell r="I618" t="str">
            <v>Oil;Conventional;0;3</v>
          </cell>
          <cell r="J618" t="str">
            <v>AB</v>
          </cell>
          <cell r="K618" t="str">
            <v>SHALLOW</v>
          </cell>
          <cell r="L618">
            <v>91</v>
          </cell>
          <cell r="M618">
            <v>441.79862930000002</v>
          </cell>
        </row>
        <row r="619">
          <cell r="A619">
            <v>3</v>
          </cell>
          <cell r="B619">
            <v>2001</v>
          </cell>
          <cell r="C619">
            <v>2</v>
          </cell>
          <cell r="D619" t="str">
            <v>Production</v>
          </cell>
          <cell r="E619" t="str">
            <v>Oil</v>
          </cell>
          <cell r="F619" t="str">
            <v>Conventional</v>
          </cell>
          <cell r="G619">
            <v>0</v>
          </cell>
          <cell r="H619" t="str">
            <v>Production;Oil;Conventional</v>
          </cell>
          <cell r="I619" t="str">
            <v>Oil;Conventional;0;3</v>
          </cell>
          <cell r="J619" t="str">
            <v>AB</v>
          </cell>
          <cell r="K619" t="str">
            <v>MEDIUM</v>
          </cell>
          <cell r="L619">
            <v>7</v>
          </cell>
          <cell r="M619">
            <v>48</v>
          </cell>
        </row>
        <row r="620">
          <cell r="A620">
            <v>3</v>
          </cell>
          <cell r="B620">
            <v>2001</v>
          </cell>
          <cell r="C620">
            <v>2</v>
          </cell>
          <cell r="D620" t="str">
            <v>Production</v>
          </cell>
          <cell r="E620" t="str">
            <v>Oil</v>
          </cell>
          <cell r="F620" t="str">
            <v>Conventional</v>
          </cell>
          <cell r="G620">
            <v>0</v>
          </cell>
          <cell r="H620" t="str">
            <v>Production;Oil;Conventional</v>
          </cell>
          <cell r="I620" t="str">
            <v>Oil;Conventional;0;3</v>
          </cell>
          <cell r="J620" t="str">
            <v>AB</v>
          </cell>
          <cell r="K620" t="str">
            <v>Shallow</v>
          </cell>
          <cell r="L620">
            <v>3</v>
          </cell>
          <cell r="M620">
            <v>16</v>
          </cell>
        </row>
        <row r="621">
          <cell r="A621">
            <v>3</v>
          </cell>
          <cell r="B621">
            <v>2002</v>
          </cell>
          <cell r="C621">
            <v>1</v>
          </cell>
          <cell r="D621" t="str">
            <v>Production</v>
          </cell>
          <cell r="E621" t="str">
            <v>Oil</v>
          </cell>
          <cell r="F621" t="str">
            <v>Conventional</v>
          </cell>
          <cell r="G621">
            <v>0</v>
          </cell>
          <cell r="H621" t="str">
            <v>Production;Oil;Conventional</v>
          </cell>
          <cell r="I621" t="str">
            <v>Oil;Conventional;0;3</v>
          </cell>
          <cell r="J621" t="str">
            <v>AB</v>
          </cell>
          <cell r="K621" t="str">
            <v>Deep</v>
          </cell>
          <cell r="L621">
            <v>1</v>
          </cell>
          <cell r="M621">
            <v>2.5</v>
          </cell>
        </row>
        <row r="622">
          <cell r="A622">
            <v>3</v>
          </cell>
          <cell r="B622">
            <v>2002</v>
          </cell>
          <cell r="C622">
            <v>1</v>
          </cell>
          <cell r="D622" t="str">
            <v>Production</v>
          </cell>
          <cell r="E622" t="str">
            <v>Oil</v>
          </cell>
          <cell r="F622" t="str">
            <v>Conventional</v>
          </cell>
          <cell r="G622">
            <v>0</v>
          </cell>
          <cell r="H622" t="str">
            <v>Production;Oil;Conventional</v>
          </cell>
          <cell r="I622" t="str">
            <v>Oil;Conventional;0;3</v>
          </cell>
          <cell r="J622" t="str">
            <v>AB</v>
          </cell>
          <cell r="K622" t="str">
            <v>MEDIUM</v>
          </cell>
          <cell r="L622">
            <v>328</v>
          </cell>
          <cell r="M622">
            <v>2203.9499999999998</v>
          </cell>
        </row>
        <row r="623">
          <cell r="A623">
            <v>3</v>
          </cell>
          <cell r="B623">
            <v>2002</v>
          </cell>
          <cell r="C623">
            <v>1</v>
          </cell>
          <cell r="D623" t="str">
            <v>Production</v>
          </cell>
          <cell r="E623" t="str">
            <v>Oil</v>
          </cell>
          <cell r="F623" t="str">
            <v>Conventional</v>
          </cell>
          <cell r="G623">
            <v>0</v>
          </cell>
          <cell r="H623" t="str">
            <v>Production;Oil;Conventional</v>
          </cell>
          <cell r="I623" t="str">
            <v>Oil;Conventional;0;3</v>
          </cell>
          <cell r="J623" t="str">
            <v>AB</v>
          </cell>
          <cell r="K623" t="str">
            <v>Shallow</v>
          </cell>
          <cell r="L623">
            <v>122</v>
          </cell>
          <cell r="M623">
            <v>648.56935649999991</v>
          </cell>
        </row>
        <row r="624">
          <cell r="A624">
            <v>3</v>
          </cell>
          <cell r="B624">
            <v>2002</v>
          </cell>
          <cell r="C624">
            <v>2</v>
          </cell>
          <cell r="D624" t="str">
            <v>Production</v>
          </cell>
          <cell r="E624" t="str">
            <v>Oil</v>
          </cell>
          <cell r="F624" t="str">
            <v>Conventional</v>
          </cell>
          <cell r="G624">
            <v>0</v>
          </cell>
          <cell r="H624" t="str">
            <v>Production;Oil;Conventional</v>
          </cell>
          <cell r="I624" t="str">
            <v>Oil;Conventional;0;3</v>
          </cell>
          <cell r="J624" t="str">
            <v>AB</v>
          </cell>
          <cell r="K624" t="str">
            <v>Medium</v>
          </cell>
          <cell r="L624">
            <v>6</v>
          </cell>
          <cell r="M624">
            <v>55</v>
          </cell>
        </row>
        <row r="625">
          <cell r="A625">
            <v>3</v>
          </cell>
          <cell r="B625">
            <v>2002</v>
          </cell>
          <cell r="C625">
            <v>2</v>
          </cell>
          <cell r="D625" t="str">
            <v>Production</v>
          </cell>
          <cell r="E625" t="str">
            <v>Oil</v>
          </cell>
          <cell r="F625" t="str">
            <v>Conventional</v>
          </cell>
          <cell r="G625">
            <v>0</v>
          </cell>
          <cell r="H625" t="str">
            <v>Production;Oil;Conventional</v>
          </cell>
          <cell r="I625" t="str">
            <v>Oil;Conventional;0;3</v>
          </cell>
          <cell r="J625" t="str">
            <v>AB</v>
          </cell>
          <cell r="K625" t="str">
            <v>Shallow</v>
          </cell>
          <cell r="L625">
            <v>3</v>
          </cell>
          <cell r="M625">
            <v>19.5</v>
          </cell>
        </row>
        <row r="626">
          <cell r="A626">
            <v>3</v>
          </cell>
          <cell r="B626">
            <v>2003</v>
          </cell>
          <cell r="C626">
            <v>1</v>
          </cell>
          <cell r="D626" t="str">
            <v>Production</v>
          </cell>
          <cell r="E626" t="str">
            <v>Oil</v>
          </cell>
          <cell r="F626" t="str">
            <v>Conventional</v>
          </cell>
          <cell r="G626">
            <v>0</v>
          </cell>
          <cell r="H626" t="str">
            <v>Production;Oil;Conventional</v>
          </cell>
          <cell r="I626" t="str">
            <v>Oil;Conventional;0;3</v>
          </cell>
          <cell r="J626" t="str">
            <v>AB</v>
          </cell>
          <cell r="K626" t="str">
            <v>Deep</v>
          </cell>
          <cell r="L626">
            <v>1</v>
          </cell>
          <cell r="M626">
            <v>5</v>
          </cell>
        </row>
        <row r="627">
          <cell r="A627">
            <v>3</v>
          </cell>
          <cell r="B627">
            <v>2003</v>
          </cell>
          <cell r="C627">
            <v>1</v>
          </cell>
          <cell r="D627" t="str">
            <v>Production</v>
          </cell>
          <cell r="E627" t="str">
            <v>Oil</v>
          </cell>
          <cell r="F627" t="str">
            <v>Conventional</v>
          </cell>
          <cell r="G627">
            <v>0</v>
          </cell>
          <cell r="H627" t="str">
            <v>Production;Oil;Conventional</v>
          </cell>
          <cell r="I627" t="str">
            <v>Oil;Conventional;0;3</v>
          </cell>
          <cell r="J627" t="str">
            <v>AB</v>
          </cell>
          <cell r="K627" t="str">
            <v>Medium</v>
          </cell>
          <cell r="L627">
            <v>425</v>
          </cell>
          <cell r="M627">
            <v>3035.1333326999998</v>
          </cell>
        </row>
        <row r="628">
          <cell r="A628">
            <v>3</v>
          </cell>
          <cell r="B628">
            <v>2003</v>
          </cell>
          <cell r="C628">
            <v>1</v>
          </cell>
          <cell r="D628" t="str">
            <v>Production</v>
          </cell>
          <cell r="E628" t="str">
            <v>Oil</v>
          </cell>
          <cell r="F628" t="str">
            <v>Conventional</v>
          </cell>
          <cell r="G628">
            <v>0</v>
          </cell>
          <cell r="H628" t="str">
            <v>Production;Oil;Conventional</v>
          </cell>
          <cell r="I628" t="str">
            <v>Oil;Conventional;0;3</v>
          </cell>
          <cell r="J628" t="str">
            <v>AB</v>
          </cell>
          <cell r="K628" t="str">
            <v>Shallow</v>
          </cell>
          <cell r="L628">
            <v>133</v>
          </cell>
          <cell r="M628">
            <v>677.44999899999993</v>
          </cell>
        </row>
        <row r="629">
          <cell r="A629">
            <v>3</v>
          </cell>
          <cell r="B629">
            <v>2003</v>
          </cell>
          <cell r="C629">
            <v>2</v>
          </cell>
          <cell r="D629" t="str">
            <v>Production</v>
          </cell>
          <cell r="E629" t="str">
            <v>Oil</v>
          </cell>
          <cell r="F629" t="str">
            <v>Conventional</v>
          </cell>
          <cell r="G629">
            <v>0</v>
          </cell>
          <cell r="H629" t="str">
            <v>Production;Oil;Conventional</v>
          </cell>
          <cell r="I629" t="str">
            <v>Oil;Conventional;0;3</v>
          </cell>
          <cell r="J629" t="str">
            <v>AB</v>
          </cell>
          <cell r="K629" t="str">
            <v>Medium</v>
          </cell>
          <cell r="L629">
            <v>12</v>
          </cell>
          <cell r="M629">
            <v>92</v>
          </cell>
        </row>
        <row r="630">
          <cell r="A630">
            <v>3</v>
          </cell>
          <cell r="B630">
            <v>2003</v>
          </cell>
          <cell r="C630">
            <v>2</v>
          </cell>
          <cell r="D630" t="str">
            <v>Production</v>
          </cell>
          <cell r="E630" t="str">
            <v>Oil</v>
          </cell>
          <cell r="F630" t="str">
            <v>Conventional</v>
          </cell>
          <cell r="G630">
            <v>0</v>
          </cell>
          <cell r="H630" t="str">
            <v>Production;Oil;Conventional</v>
          </cell>
          <cell r="I630" t="str">
            <v>Oil;Conventional;0;3</v>
          </cell>
          <cell r="J630" t="str">
            <v>AB</v>
          </cell>
          <cell r="K630" t="str">
            <v>Shallow</v>
          </cell>
          <cell r="L630">
            <v>20</v>
          </cell>
          <cell r="M630">
            <v>117</v>
          </cell>
        </row>
        <row r="631">
          <cell r="A631">
            <v>3</v>
          </cell>
          <cell r="B631">
            <v>2003</v>
          </cell>
          <cell r="C631">
            <v>3</v>
          </cell>
          <cell r="D631" t="str">
            <v>Production</v>
          </cell>
          <cell r="E631" t="str">
            <v>Oil</v>
          </cell>
          <cell r="F631" t="str">
            <v>Conventional</v>
          </cell>
          <cell r="G631">
            <v>0</v>
          </cell>
          <cell r="H631" t="str">
            <v>Production;Oil;Conventional</v>
          </cell>
          <cell r="I631" t="str">
            <v>Oil;Conventional;0;3</v>
          </cell>
          <cell r="J631" t="str">
            <v>AB</v>
          </cell>
          <cell r="K631" t="str">
            <v>Shallow</v>
          </cell>
          <cell r="L631">
            <v>1</v>
          </cell>
          <cell r="M631">
            <v>15</v>
          </cell>
        </row>
        <row r="632">
          <cell r="A632">
            <v>3</v>
          </cell>
          <cell r="B632">
            <v>2004</v>
          </cell>
          <cell r="C632">
            <v>1</v>
          </cell>
          <cell r="D632" t="str">
            <v>Production</v>
          </cell>
          <cell r="E632" t="str">
            <v>Oil</v>
          </cell>
          <cell r="F632" t="str">
            <v>Conventional</v>
          </cell>
          <cell r="G632">
            <v>0</v>
          </cell>
          <cell r="H632" t="str">
            <v>Production;Oil;Conventional</v>
          </cell>
          <cell r="I632" t="str">
            <v>Oil;Conventional;0;3</v>
          </cell>
          <cell r="J632" t="str">
            <v>AB</v>
          </cell>
          <cell r="K632" t="str">
            <v>Deep</v>
          </cell>
          <cell r="L632">
            <v>1</v>
          </cell>
          <cell r="M632">
            <v>3</v>
          </cell>
        </row>
        <row r="633">
          <cell r="A633">
            <v>3</v>
          </cell>
          <cell r="B633">
            <v>2004</v>
          </cell>
          <cell r="C633">
            <v>1</v>
          </cell>
          <cell r="D633" t="str">
            <v>Production</v>
          </cell>
          <cell r="E633" t="str">
            <v>Oil</v>
          </cell>
          <cell r="F633" t="str">
            <v>Conventional</v>
          </cell>
          <cell r="G633">
            <v>0</v>
          </cell>
          <cell r="H633" t="str">
            <v>Production;Oil;Conventional</v>
          </cell>
          <cell r="I633" t="str">
            <v>Oil;Conventional;0;3</v>
          </cell>
          <cell r="J633" t="str">
            <v>AB</v>
          </cell>
          <cell r="K633" t="str">
            <v>Medium</v>
          </cell>
          <cell r="L633">
            <v>252</v>
          </cell>
          <cell r="M633">
            <v>1836.8359829999999</v>
          </cell>
        </row>
        <row r="634">
          <cell r="A634">
            <v>3</v>
          </cell>
          <cell r="B634">
            <v>2004</v>
          </cell>
          <cell r="C634">
            <v>1</v>
          </cell>
          <cell r="D634" t="str">
            <v>Production</v>
          </cell>
          <cell r="E634" t="str">
            <v>Oil</v>
          </cell>
          <cell r="F634" t="str">
            <v>Conventional</v>
          </cell>
          <cell r="G634">
            <v>0</v>
          </cell>
          <cell r="H634" t="str">
            <v>Production;Oil;Conventional</v>
          </cell>
          <cell r="I634" t="str">
            <v>Oil;Conventional;0;3</v>
          </cell>
          <cell r="J634" t="str">
            <v>AB</v>
          </cell>
          <cell r="K634" t="str">
            <v>Shallow</v>
          </cell>
          <cell r="L634">
            <v>106</v>
          </cell>
          <cell r="M634">
            <v>497.38063579999999</v>
          </cell>
        </row>
        <row r="635">
          <cell r="A635">
            <v>3</v>
          </cell>
          <cell r="B635">
            <v>2004</v>
          </cell>
          <cell r="C635">
            <v>2</v>
          </cell>
          <cell r="D635" t="str">
            <v>Production</v>
          </cell>
          <cell r="E635" t="str">
            <v>Oil</v>
          </cell>
          <cell r="F635" t="str">
            <v>Conventional</v>
          </cell>
          <cell r="G635">
            <v>0</v>
          </cell>
          <cell r="H635" t="str">
            <v>Production;Oil;Conventional</v>
          </cell>
          <cell r="I635" t="str">
            <v>Oil;Conventional;0;3</v>
          </cell>
          <cell r="J635" t="str">
            <v>AB</v>
          </cell>
          <cell r="K635" t="str">
            <v>MEDIUM</v>
          </cell>
          <cell r="L635">
            <v>14</v>
          </cell>
          <cell r="M635">
            <v>69</v>
          </cell>
        </row>
        <row r="636">
          <cell r="A636">
            <v>3</v>
          </cell>
          <cell r="B636">
            <v>2004</v>
          </cell>
          <cell r="C636">
            <v>2</v>
          </cell>
          <cell r="D636" t="str">
            <v>Production</v>
          </cell>
          <cell r="E636" t="str">
            <v>Oil</v>
          </cell>
          <cell r="F636" t="str">
            <v>Conventional</v>
          </cell>
          <cell r="G636">
            <v>0</v>
          </cell>
          <cell r="H636" t="str">
            <v>Production;Oil;Conventional</v>
          </cell>
          <cell r="I636" t="str">
            <v>Oil;Conventional;0;3</v>
          </cell>
          <cell r="J636" t="str">
            <v>AB</v>
          </cell>
          <cell r="K636" t="str">
            <v>Shallow</v>
          </cell>
          <cell r="L636">
            <v>1</v>
          </cell>
          <cell r="M636">
            <v>1</v>
          </cell>
        </row>
        <row r="637">
          <cell r="A637">
            <v>3</v>
          </cell>
          <cell r="B637">
            <v>2004</v>
          </cell>
          <cell r="C637">
            <v>3</v>
          </cell>
          <cell r="D637" t="str">
            <v>Production</v>
          </cell>
          <cell r="E637" t="str">
            <v>Oil</v>
          </cell>
          <cell r="F637" t="str">
            <v>Conventional</v>
          </cell>
          <cell r="G637">
            <v>0</v>
          </cell>
          <cell r="H637" t="str">
            <v>Production;Oil;Conventional</v>
          </cell>
          <cell r="I637" t="str">
            <v>Oil;Conventional;0;3</v>
          </cell>
          <cell r="J637" t="str">
            <v>AB</v>
          </cell>
          <cell r="K637" t="str">
            <v>Medium</v>
          </cell>
          <cell r="L637">
            <v>1</v>
          </cell>
          <cell r="M637">
            <v>12</v>
          </cell>
        </row>
        <row r="638">
          <cell r="A638">
            <v>3</v>
          </cell>
          <cell r="B638">
            <v>2005</v>
          </cell>
          <cell r="C638">
            <v>1</v>
          </cell>
          <cell r="D638" t="str">
            <v>Production</v>
          </cell>
          <cell r="E638" t="str">
            <v>Oil</v>
          </cell>
          <cell r="F638" t="str">
            <v>Conventional</v>
          </cell>
          <cell r="G638">
            <v>0</v>
          </cell>
          <cell r="H638" t="str">
            <v>Production;Oil;Conventional</v>
          </cell>
          <cell r="I638" t="str">
            <v>Oil;Conventional;0;3</v>
          </cell>
          <cell r="J638" t="str">
            <v>AB</v>
          </cell>
          <cell r="K638" t="str">
            <v>Deep</v>
          </cell>
          <cell r="L638">
            <v>3</v>
          </cell>
          <cell r="M638">
            <v>9.410994800000001</v>
          </cell>
        </row>
        <row r="639">
          <cell r="A639">
            <v>3</v>
          </cell>
          <cell r="B639">
            <v>2005</v>
          </cell>
          <cell r="C639">
            <v>1</v>
          </cell>
          <cell r="D639" t="str">
            <v>Production</v>
          </cell>
          <cell r="E639" t="str">
            <v>Oil</v>
          </cell>
          <cell r="F639" t="str">
            <v>Conventional</v>
          </cell>
          <cell r="G639">
            <v>0</v>
          </cell>
          <cell r="H639" t="str">
            <v>Production;Oil;Conventional</v>
          </cell>
          <cell r="I639" t="str">
            <v>Oil;Conventional;0;3</v>
          </cell>
          <cell r="J639" t="str">
            <v>AB</v>
          </cell>
          <cell r="K639" t="str">
            <v>Medium</v>
          </cell>
          <cell r="L639">
            <v>242</v>
          </cell>
          <cell r="M639">
            <v>1646.7000039999998</v>
          </cell>
        </row>
        <row r="640">
          <cell r="A640">
            <v>3</v>
          </cell>
          <cell r="B640">
            <v>2005</v>
          </cell>
          <cell r="C640">
            <v>1</v>
          </cell>
          <cell r="D640" t="str">
            <v>Production</v>
          </cell>
          <cell r="E640" t="str">
            <v>Oil</v>
          </cell>
          <cell r="F640" t="str">
            <v>Conventional</v>
          </cell>
          <cell r="G640">
            <v>0</v>
          </cell>
          <cell r="H640" t="str">
            <v>Production;Oil;Conventional</v>
          </cell>
          <cell r="I640" t="str">
            <v>Oil;Conventional;0;3</v>
          </cell>
          <cell r="J640" t="str">
            <v>AB</v>
          </cell>
          <cell r="K640" t="str">
            <v>Shallow</v>
          </cell>
          <cell r="L640">
            <v>134</v>
          </cell>
          <cell r="M640">
            <v>663.4507936</v>
          </cell>
        </row>
        <row r="641">
          <cell r="A641">
            <v>3</v>
          </cell>
          <cell r="B641">
            <v>2005</v>
          </cell>
          <cell r="C641">
            <v>2</v>
          </cell>
          <cell r="D641" t="str">
            <v>Production</v>
          </cell>
          <cell r="E641" t="str">
            <v>Oil</v>
          </cell>
          <cell r="F641" t="str">
            <v>Conventional</v>
          </cell>
          <cell r="G641">
            <v>0</v>
          </cell>
          <cell r="H641" t="str">
            <v>Production;Oil;Conventional</v>
          </cell>
          <cell r="I641" t="str">
            <v>Oil;Conventional;0;3</v>
          </cell>
          <cell r="J641" t="str">
            <v>AB</v>
          </cell>
          <cell r="K641" t="str">
            <v>Medium</v>
          </cell>
          <cell r="L641">
            <v>3</v>
          </cell>
          <cell r="M641">
            <v>11</v>
          </cell>
        </row>
        <row r="642">
          <cell r="A642">
            <v>3</v>
          </cell>
          <cell r="B642">
            <v>2006</v>
          </cell>
          <cell r="C642">
            <v>1</v>
          </cell>
          <cell r="D642" t="str">
            <v>Production</v>
          </cell>
          <cell r="E642" t="str">
            <v>Oil</v>
          </cell>
          <cell r="F642" t="str">
            <v>Conventional</v>
          </cell>
          <cell r="G642">
            <v>0</v>
          </cell>
          <cell r="H642" t="str">
            <v>Production;Oil;Conventional</v>
          </cell>
          <cell r="I642" t="str">
            <v>Oil;Conventional;0;3</v>
          </cell>
          <cell r="J642" t="str">
            <v>AB</v>
          </cell>
          <cell r="K642" t="str">
            <v>Deep</v>
          </cell>
          <cell r="L642">
            <v>5</v>
          </cell>
          <cell r="M642">
            <v>38</v>
          </cell>
        </row>
        <row r="643">
          <cell r="A643">
            <v>3</v>
          </cell>
          <cell r="B643">
            <v>2006</v>
          </cell>
          <cell r="C643">
            <v>1</v>
          </cell>
          <cell r="D643" t="str">
            <v>Production</v>
          </cell>
          <cell r="E643" t="str">
            <v>Oil</v>
          </cell>
          <cell r="F643" t="str">
            <v>Conventional</v>
          </cell>
          <cell r="G643">
            <v>0</v>
          </cell>
          <cell r="H643" t="str">
            <v>Production;Oil;Conventional</v>
          </cell>
          <cell r="I643" t="str">
            <v>Oil;Conventional;0;3</v>
          </cell>
          <cell r="J643" t="str">
            <v>AB</v>
          </cell>
          <cell r="K643" t="str">
            <v>Medium</v>
          </cell>
          <cell r="L643">
            <v>158</v>
          </cell>
          <cell r="M643">
            <v>1126.3773828000001</v>
          </cell>
        </row>
        <row r="644">
          <cell r="A644">
            <v>3</v>
          </cell>
          <cell r="B644">
            <v>2006</v>
          </cell>
          <cell r="C644">
            <v>1</v>
          </cell>
          <cell r="D644" t="str">
            <v>Production</v>
          </cell>
          <cell r="E644" t="str">
            <v>Oil</v>
          </cell>
          <cell r="F644" t="str">
            <v>Conventional</v>
          </cell>
          <cell r="G644">
            <v>0</v>
          </cell>
          <cell r="H644" t="str">
            <v>Production;Oil;Conventional</v>
          </cell>
          <cell r="I644" t="str">
            <v>Oil;Conventional;0;3</v>
          </cell>
          <cell r="J644" t="str">
            <v>AB</v>
          </cell>
          <cell r="K644" t="str">
            <v>Shallow</v>
          </cell>
          <cell r="L644">
            <v>104</v>
          </cell>
          <cell r="M644">
            <v>621.29444439999997</v>
          </cell>
        </row>
        <row r="645">
          <cell r="A645">
            <v>3</v>
          </cell>
          <cell r="B645">
            <v>2006</v>
          </cell>
          <cell r="C645">
            <v>2</v>
          </cell>
          <cell r="D645" t="str">
            <v>Production</v>
          </cell>
          <cell r="E645" t="str">
            <v>Oil</v>
          </cell>
          <cell r="F645" t="str">
            <v>Conventional</v>
          </cell>
          <cell r="G645">
            <v>0</v>
          </cell>
          <cell r="H645" t="str">
            <v>Production;Oil;Conventional</v>
          </cell>
          <cell r="I645" t="str">
            <v>Oil;Conventional;0;3</v>
          </cell>
          <cell r="J645" t="str">
            <v>AB</v>
          </cell>
          <cell r="K645" t="str">
            <v>Shallow</v>
          </cell>
          <cell r="L645">
            <v>1</v>
          </cell>
          <cell r="M645">
            <v>3</v>
          </cell>
        </row>
        <row r="646">
          <cell r="A646">
            <v>3</v>
          </cell>
          <cell r="B646">
            <v>2007</v>
          </cell>
          <cell r="C646">
            <v>1</v>
          </cell>
          <cell r="D646" t="str">
            <v>Production</v>
          </cell>
          <cell r="E646" t="str">
            <v>Oil</v>
          </cell>
          <cell r="F646" t="str">
            <v>Conventional</v>
          </cell>
          <cell r="G646">
            <v>0</v>
          </cell>
          <cell r="H646" t="str">
            <v>Production;Oil;Conventional</v>
          </cell>
          <cell r="I646" t="str">
            <v>Oil;Conventional;0;3</v>
          </cell>
          <cell r="J646" t="str">
            <v>AB</v>
          </cell>
          <cell r="K646" t="str">
            <v>Medium</v>
          </cell>
          <cell r="L646">
            <v>18</v>
          </cell>
          <cell r="M646">
            <v>155</v>
          </cell>
        </row>
        <row r="647">
          <cell r="A647">
            <v>3</v>
          </cell>
          <cell r="B647">
            <v>2007</v>
          </cell>
          <cell r="C647">
            <v>1</v>
          </cell>
          <cell r="D647" t="str">
            <v>Production</v>
          </cell>
          <cell r="E647" t="str">
            <v>Oil</v>
          </cell>
          <cell r="F647" t="str">
            <v>Conventional</v>
          </cell>
          <cell r="G647">
            <v>0</v>
          </cell>
          <cell r="H647" t="str">
            <v>Production;Oil;Conventional</v>
          </cell>
          <cell r="I647" t="str">
            <v>Oil;Conventional;0;3</v>
          </cell>
          <cell r="J647" t="str">
            <v>AB</v>
          </cell>
          <cell r="K647" t="str">
            <v>Shallow</v>
          </cell>
          <cell r="L647">
            <v>11</v>
          </cell>
          <cell r="M647">
            <v>79</v>
          </cell>
        </row>
        <row r="648">
          <cell r="A648">
            <v>4</v>
          </cell>
          <cell r="B648">
            <v>2000</v>
          </cell>
          <cell r="C648">
            <v>1</v>
          </cell>
          <cell r="D648" t="str">
            <v>Production</v>
          </cell>
          <cell r="E648" t="str">
            <v>Oil</v>
          </cell>
          <cell r="F648" t="str">
            <v>Conventional</v>
          </cell>
          <cell r="G648">
            <v>0</v>
          </cell>
          <cell r="H648" t="str">
            <v>Production;Oil;Conventional</v>
          </cell>
          <cell r="I648" t="str">
            <v>Oil;Conventional;0;4</v>
          </cell>
          <cell r="J648" t="str">
            <v>AB</v>
          </cell>
          <cell r="K648" t="str">
            <v>Deep</v>
          </cell>
          <cell r="L648">
            <v>1</v>
          </cell>
          <cell r="M648">
            <v>2.5</v>
          </cell>
        </row>
        <row r="649">
          <cell r="A649">
            <v>4</v>
          </cell>
          <cell r="B649">
            <v>2000</v>
          </cell>
          <cell r="C649">
            <v>1</v>
          </cell>
          <cell r="D649" t="str">
            <v>Production</v>
          </cell>
          <cell r="E649" t="str">
            <v>Oil</v>
          </cell>
          <cell r="F649" t="str">
            <v>Conventional</v>
          </cell>
          <cell r="G649">
            <v>0</v>
          </cell>
          <cell r="H649" t="str">
            <v>Production;Oil;Conventional</v>
          </cell>
          <cell r="I649" t="str">
            <v>Oil;Conventional;0;4</v>
          </cell>
          <cell r="J649" t="str">
            <v>AB</v>
          </cell>
          <cell r="K649" t="str">
            <v>Medium</v>
          </cell>
          <cell r="L649">
            <v>261</v>
          </cell>
          <cell r="M649">
            <v>1242.8855527000001</v>
          </cell>
        </row>
        <row r="650">
          <cell r="A650">
            <v>4</v>
          </cell>
          <cell r="B650">
            <v>2000</v>
          </cell>
          <cell r="C650">
            <v>1</v>
          </cell>
          <cell r="D650" t="str">
            <v>Production</v>
          </cell>
          <cell r="E650" t="str">
            <v>Oil</v>
          </cell>
          <cell r="F650" t="str">
            <v>Conventional</v>
          </cell>
          <cell r="G650">
            <v>0</v>
          </cell>
          <cell r="H650" t="str">
            <v>Production;Oil;Conventional</v>
          </cell>
          <cell r="I650" t="str">
            <v>Oil;Conventional;0;4</v>
          </cell>
          <cell r="J650" t="str">
            <v>AB</v>
          </cell>
          <cell r="K650" t="str">
            <v>Shallow</v>
          </cell>
          <cell r="L650">
            <v>616</v>
          </cell>
          <cell r="M650">
            <v>2240.3723422999997</v>
          </cell>
        </row>
        <row r="651">
          <cell r="A651">
            <v>4</v>
          </cell>
          <cell r="B651">
            <v>2001</v>
          </cell>
          <cell r="C651">
            <v>1</v>
          </cell>
          <cell r="D651" t="str">
            <v>Production</v>
          </cell>
          <cell r="E651" t="str">
            <v>Oil</v>
          </cell>
          <cell r="F651" t="str">
            <v>Conventional</v>
          </cell>
          <cell r="G651">
            <v>0</v>
          </cell>
          <cell r="H651" t="str">
            <v>Production;Oil;Conventional</v>
          </cell>
          <cell r="I651" t="str">
            <v>Oil;Conventional;0;4</v>
          </cell>
          <cell r="J651" t="str">
            <v>AB</v>
          </cell>
          <cell r="K651" t="str">
            <v>Medium</v>
          </cell>
          <cell r="L651">
            <v>188</v>
          </cell>
          <cell r="M651">
            <v>825.60464975000002</v>
          </cell>
        </row>
        <row r="652">
          <cell r="A652">
            <v>4</v>
          </cell>
          <cell r="B652">
            <v>2001</v>
          </cell>
          <cell r="C652">
            <v>1</v>
          </cell>
          <cell r="D652" t="str">
            <v>Production</v>
          </cell>
          <cell r="E652" t="str">
            <v>Oil</v>
          </cell>
          <cell r="F652" t="str">
            <v>Conventional</v>
          </cell>
          <cell r="G652">
            <v>0</v>
          </cell>
          <cell r="H652" t="str">
            <v>Production;Oil;Conventional</v>
          </cell>
          <cell r="I652" t="str">
            <v>Oil;Conventional;0;4</v>
          </cell>
          <cell r="J652" t="str">
            <v>AB</v>
          </cell>
          <cell r="K652" t="str">
            <v>Shallow</v>
          </cell>
          <cell r="L652">
            <v>340</v>
          </cell>
          <cell r="M652">
            <v>1161.3595217</v>
          </cell>
        </row>
        <row r="653">
          <cell r="A653">
            <v>4</v>
          </cell>
          <cell r="B653">
            <v>2002</v>
          </cell>
          <cell r="C653">
            <v>1</v>
          </cell>
          <cell r="D653" t="str">
            <v>Production</v>
          </cell>
          <cell r="E653" t="str">
            <v>Oil</v>
          </cell>
          <cell r="F653" t="str">
            <v>Conventional</v>
          </cell>
          <cell r="G653">
            <v>0</v>
          </cell>
          <cell r="H653" t="str">
            <v>Production;Oil;Conventional</v>
          </cell>
          <cell r="I653" t="str">
            <v>Oil;Conventional;0;4</v>
          </cell>
          <cell r="J653" t="str">
            <v>AB</v>
          </cell>
          <cell r="K653" t="str">
            <v>Medium</v>
          </cell>
          <cell r="L653">
            <v>108</v>
          </cell>
          <cell r="M653">
            <v>475.34999900000003</v>
          </cell>
        </row>
        <row r="654">
          <cell r="A654">
            <v>4</v>
          </cell>
          <cell r="B654">
            <v>2002</v>
          </cell>
          <cell r="C654">
            <v>1</v>
          </cell>
          <cell r="D654" t="str">
            <v>Production</v>
          </cell>
          <cell r="E654" t="str">
            <v>Oil</v>
          </cell>
          <cell r="F654" t="str">
            <v>Conventional</v>
          </cell>
          <cell r="G654">
            <v>0</v>
          </cell>
          <cell r="H654" t="str">
            <v>Production;Oil;Conventional</v>
          </cell>
          <cell r="I654" t="str">
            <v>Oil;Conventional;0;4</v>
          </cell>
          <cell r="J654" t="str">
            <v>AB</v>
          </cell>
          <cell r="K654" t="str">
            <v>Shallow</v>
          </cell>
          <cell r="L654">
            <v>343</v>
          </cell>
          <cell r="M654">
            <v>1137.2427573000002</v>
          </cell>
        </row>
        <row r="655">
          <cell r="A655">
            <v>4</v>
          </cell>
          <cell r="B655">
            <v>2002</v>
          </cell>
          <cell r="C655">
            <v>2</v>
          </cell>
          <cell r="D655" t="str">
            <v>Production</v>
          </cell>
          <cell r="E655" t="str">
            <v>Oil</v>
          </cell>
          <cell r="F655" t="str">
            <v>Conventional</v>
          </cell>
          <cell r="G655">
            <v>0</v>
          </cell>
          <cell r="H655" t="str">
            <v>Production;Oil;Conventional</v>
          </cell>
          <cell r="I655" t="str">
            <v>Oil;Conventional;0;4</v>
          </cell>
          <cell r="J655" t="str">
            <v>AB</v>
          </cell>
          <cell r="K655" t="str">
            <v>Shallow</v>
          </cell>
          <cell r="L655">
            <v>1</v>
          </cell>
          <cell r="M655">
            <v>16</v>
          </cell>
        </row>
        <row r="656">
          <cell r="A656">
            <v>4</v>
          </cell>
          <cell r="B656">
            <v>2003</v>
          </cell>
          <cell r="C656">
            <v>1</v>
          </cell>
          <cell r="D656" t="str">
            <v>Production</v>
          </cell>
          <cell r="E656" t="str">
            <v>Oil</v>
          </cell>
          <cell r="F656" t="str">
            <v>Conventional</v>
          </cell>
          <cell r="G656">
            <v>0</v>
          </cell>
          <cell r="H656" t="str">
            <v>Production;Oil;Conventional</v>
          </cell>
          <cell r="I656" t="str">
            <v>Oil;Conventional;0;4</v>
          </cell>
          <cell r="J656" t="str">
            <v>AB</v>
          </cell>
          <cell r="K656" t="str">
            <v>Deep</v>
          </cell>
          <cell r="L656">
            <v>1</v>
          </cell>
          <cell r="M656">
            <v>1</v>
          </cell>
        </row>
        <row r="657">
          <cell r="A657">
            <v>4</v>
          </cell>
          <cell r="B657">
            <v>2003</v>
          </cell>
          <cell r="C657">
            <v>1</v>
          </cell>
          <cell r="D657" t="str">
            <v>Production</v>
          </cell>
          <cell r="E657" t="str">
            <v>Oil</v>
          </cell>
          <cell r="F657" t="str">
            <v>Conventional</v>
          </cell>
          <cell r="G657">
            <v>0</v>
          </cell>
          <cell r="H657" t="str">
            <v>Production;Oil;Conventional</v>
          </cell>
          <cell r="I657" t="str">
            <v>Oil;Conventional;0;4</v>
          </cell>
          <cell r="J657" t="str">
            <v>AB</v>
          </cell>
          <cell r="K657" t="str">
            <v>Medium</v>
          </cell>
          <cell r="L657">
            <v>257</v>
          </cell>
          <cell r="M657">
            <v>957.70770310000023</v>
          </cell>
        </row>
        <row r="658">
          <cell r="A658">
            <v>4</v>
          </cell>
          <cell r="B658">
            <v>2003</v>
          </cell>
          <cell r="C658">
            <v>1</v>
          </cell>
          <cell r="D658" t="str">
            <v>Production</v>
          </cell>
          <cell r="E658" t="str">
            <v>Oil</v>
          </cell>
          <cell r="F658" t="str">
            <v>Conventional</v>
          </cell>
          <cell r="G658">
            <v>0</v>
          </cell>
          <cell r="H658" t="str">
            <v>Production;Oil;Conventional</v>
          </cell>
          <cell r="I658" t="str">
            <v>Oil;Conventional;0;4</v>
          </cell>
          <cell r="J658" t="str">
            <v>AB</v>
          </cell>
          <cell r="K658" t="str">
            <v>Shallow</v>
          </cell>
          <cell r="L658">
            <v>359</v>
          </cell>
          <cell r="M658">
            <v>1298.3707956999997</v>
          </cell>
        </row>
        <row r="659">
          <cell r="A659">
            <v>4</v>
          </cell>
          <cell r="B659">
            <v>2004</v>
          </cell>
          <cell r="C659">
            <v>1</v>
          </cell>
          <cell r="D659" t="str">
            <v>Production</v>
          </cell>
          <cell r="E659" t="str">
            <v>Oil</v>
          </cell>
          <cell r="F659" t="str">
            <v>Conventional</v>
          </cell>
          <cell r="G659">
            <v>0</v>
          </cell>
          <cell r="H659" t="str">
            <v>Production;Oil;Conventional</v>
          </cell>
          <cell r="I659" t="str">
            <v>Oil;Conventional;0;4</v>
          </cell>
          <cell r="J659" t="str">
            <v>AB</v>
          </cell>
          <cell r="K659" t="str">
            <v>Deep</v>
          </cell>
          <cell r="L659">
            <v>25</v>
          </cell>
          <cell r="M659">
            <v>54.166667000000004</v>
          </cell>
        </row>
        <row r="660">
          <cell r="A660">
            <v>4</v>
          </cell>
          <cell r="B660">
            <v>2004</v>
          </cell>
          <cell r="C660">
            <v>1</v>
          </cell>
          <cell r="D660" t="str">
            <v>Production</v>
          </cell>
          <cell r="E660" t="str">
            <v>Oil</v>
          </cell>
          <cell r="F660" t="str">
            <v>Conventional</v>
          </cell>
          <cell r="G660">
            <v>0</v>
          </cell>
          <cell r="H660" t="str">
            <v>Production;Oil;Conventional</v>
          </cell>
          <cell r="I660" t="str">
            <v>Oil;Conventional;0;4</v>
          </cell>
          <cell r="J660" t="str">
            <v>AB</v>
          </cell>
          <cell r="K660" t="str">
            <v>Medium</v>
          </cell>
          <cell r="L660">
            <v>178</v>
          </cell>
          <cell r="M660">
            <v>622</v>
          </cell>
        </row>
        <row r="661">
          <cell r="A661">
            <v>4</v>
          </cell>
          <cell r="B661">
            <v>2004</v>
          </cell>
          <cell r="C661">
            <v>1</v>
          </cell>
          <cell r="D661" t="str">
            <v>Production</v>
          </cell>
          <cell r="E661" t="str">
            <v>Oil</v>
          </cell>
          <cell r="F661" t="str">
            <v>Conventional</v>
          </cell>
          <cell r="G661">
            <v>0</v>
          </cell>
          <cell r="H661" t="str">
            <v>Production;Oil;Conventional</v>
          </cell>
          <cell r="I661" t="str">
            <v>Oil;Conventional;0;4</v>
          </cell>
          <cell r="J661" t="str">
            <v>AB</v>
          </cell>
          <cell r="K661" t="str">
            <v>Shallow</v>
          </cell>
          <cell r="L661">
            <v>389</v>
          </cell>
          <cell r="M661">
            <v>1317.3277774000003</v>
          </cell>
        </row>
        <row r="662">
          <cell r="A662">
            <v>4</v>
          </cell>
          <cell r="B662">
            <v>2004</v>
          </cell>
          <cell r="C662">
            <v>2</v>
          </cell>
          <cell r="D662" t="str">
            <v>Production</v>
          </cell>
          <cell r="E662" t="str">
            <v>Oil</v>
          </cell>
          <cell r="F662" t="str">
            <v>Conventional</v>
          </cell>
          <cell r="G662">
            <v>0</v>
          </cell>
          <cell r="H662" t="str">
            <v>Production;Oil;Conventional</v>
          </cell>
          <cell r="I662" t="str">
            <v>Oil;Conventional;0;4</v>
          </cell>
          <cell r="J662" t="str">
            <v>AB</v>
          </cell>
          <cell r="K662" t="str">
            <v>Medium</v>
          </cell>
          <cell r="L662">
            <v>1</v>
          </cell>
          <cell r="M662">
            <v>3</v>
          </cell>
        </row>
        <row r="663">
          <cell r="A663">
            <v>4</v>
          </cell>
          <cell r="B663">
            <v>2005</v>
          </cell>
          <cell r="C663">
            <v>1</v>
          </cell>
          <cell r="D663" t="str">
            <v>Production</v>
          </cell>
          <cell r="E663" t="str">
            <v>Oil</v>
          </cell>
          <cell r="F663" t="str">
            <v>Conventional</v>
          </cell>
          <cell r="G663">
            <v>0</v>
          </cell>
          <cell r="H663" t="str">
            <v>Production;Oil;Conventional</v>
          </cell>
          <cell r="I663" t="str">
            <v>Oil;Conventional;0;4</v>
          </cell>
          <cell r="J663" t="str">
            <v>AB</v>
          </cell>
          <cell r="K663" t="str">
            <v>Deep</v>
          </cell>
          <cell r="L663">
            <v>6</v>
          </cell>
          <cell r="M663">
            <v>10.583332</v>
          </cell>
        </row>
        <row r="664">
          <cell r="A664">
            <v>4</v>
          </cell>
          <cell r="B664">
            <v>2005</v>
          </cell>
          <cell r="C664">
            <v>1</v>
          </cell>
          <cell r="D664" t="str">
            <v>Production</v>
          </cell>
          <cell r="E664" t="str">
            <v>Oil</v>
          </cell>
          <cell r="F664" t="str">
            <v>Conventional</v>
          </cell>
          <cell r="G664">
            <v>0</v>
          </cell>
          <cell r="H664" t="str">
            <v>Production;Oil;Conventional</v>
          </cell>
          <cell r="I664" t="str">
            <v>Oil;Conventional;0;4</v>
          </cell>
          <cell r="J664" t="str">
            <v>AB</v>
          </cell>
          <cell r="K664" t="str">
            <v>Medium</v>
          </cell>
          <cell r="L664">
            <v>79</v>
          </cell>
          <cell r="M664">
            <v>333.5</v>
          </cell>
        </row>
        <row r="665">
          <cell r="A665">
            <v>4</v>
          </cell>
          <cell r="B665">
            <v>2005</v>
          </cell>
          <cell r="C665">
            <v>1</v>
          </cell>
          <cell r="D665" t="str">
            <v>Production</v>
          </cell>
          <cell r="E665" t="str">
            <v>Oil</v>
          </cell>
          <cell r="F665" t="str">
            <v>Conventional</v>
          </cell>
          <cell r="G665">
            <v>0</v>
          </cell>
          <cell r="H665" t="str">
            <v>Production;Oil;Conventional</v>
          </cell>
          <cell r="I665" t="str">
            <v>Oil;Conventional;0;4</v>
          </cell>
          <cell r="J665" t="str">
            <v>AB</v>
          </cell>
          <cell r="K665" t="str">
            <v>Shallow</v>
          </cell>
          <cell r="L665">
            <v>436</v>
          </cell>
          <cell r="M665">
            <v>1544.9673711999999</v>
          </cell>
        </row>
        <row r="666">
          <cell r="A666">
            <v>4</v>
          </cell>
          <cell r="B666">
            <v>2006</v>
          </cell>
          <cell r="C666">
            <v>1</v>
          </cell>
          <cell r="D666" t="str">
            <v>Production</v>
          </cell>
          <cell r="E666" t="str">
            <v>Oil</v>
          </cell>
          <cell r="F666" t="str">
            <v>Conventional</v>
          </cell>
          <cell r="G666">
            <v>0</v>
          </cell>
          <cell r="H666" t="str">
            <v>Production;Oil;Conventional</v>
          </cell>
          <cell r="I666" t="str">
            <v>Oil;Conventional;0;4</v>
          </cell>
          <cell r="J666" t="str">
            <v>AB</v>
          </cell>
          <cell r="K666" t="str">
            <v>Deep</v>
          </cell>
          <cell r="L666">
            <v>18</v>
          </cell>
          <cell r="M666">
            <v>138.09285700000001</v>
          </cell>
        </row>
        <row r="667">
          <cell r="A667">
            <v>4</v>
          </cell>
          <cell r="B667">
            <v>2006</v>
          </cell>
          <cell r="C667">
            <v>1</v>
          </cell>
          <cell r="D667" t="str">
            <v>Production</v>
          </cell>
          <cell r="E667" t="str">
            <v>Oil</v>
          </cell>
          <cell r="F667" t="str">
            <v>Conventional</v>
          </cell>
          <cell r="G667">
            <v>0</v>
          </cell>
          <cell r="H667" t="str">
            <v>Production;Oil;Conventional</v>
          </cell>
          <cell r="I667" t="str">
            <v>Oil;Conventional;0;4</v>
          </cell>
          <cell r="J667" t="str">
            <v>AB</v>
          </cell>
          <cell r="K667" t="str">
            <v>Medium</v>
          </cell>
          <cell r="L667">
            <v>61</v>
          </cell>
          <cell r="M667">
            <v>391.9166664</v>
          </cell>
        </row>
        <row r="668">
          <cell r="A668">
            <v>4</v>
          </cell>
          <cell r="B668">
            <v>2006</v>
          </cell>
          <cell r="C668">
            <v>1</v>
          </cell>
          <cell r="D668" t="str">
            <v>Production</v>
          </cell>
          <cell r="E668" t="str">
            <v>Oil</v>
          </cell>
          <cell r="F668" t="str">
            <v>Conventional</v>
          </cell>
          <cell r="G668">
            <v>0</v>
          </cell>
          <cell r="H668" t="str">
            <v>Production;Oil;Conventional</v>
          </cell>
          <cell r="I668" t="str">
            <v>Oil;Conventional;0;4</v>
          </cell>
          <cell r="J668" t="str">
            <v>AB</v>
          </cell>
          <cell r="K668" t="str">
            <v>Shallow</v>
          </cell>
          <cell r="L668">
            <v>417</v>
          </cell>
          <cell r="M668">
            <v>1593.8575114000002</v>
          </cell>
        </row>
        <row r="669">
          <cell r="A669">
            <v>4</v>
          </cell>
          <cell r="B669">
            <v>2007</v>
          </cell>
          <cell r="C669">
            <v>1</v>
          </cell>
          <cell r="D669" t="str">
            <v>Production</v>
          </cell>
          <cell r="E669" t="str">
            <v>Oil</v>
          </cell>
          <cell r="F669" t="str">
            <v>Conventional</v>
          </cell>
          <cell r="G669">
            <v>0</v>
          </cell>
          <cell r="H669" t="str">
            <v>Production;Oil;Conventional</v>
          </cell>
          <cell r="I669" t="str">
            <v>Oil;Conventional;0;4</v>
          </cell>
          <cell r="J669" t="str">
            <v>AB</v>
          </cell>
          <cell r="K669" t="str">
            <v>Medium</v>
          </cell>
          <cell r="L669">
            <v>34</v>
          </cell>
          <cell r="M669">
            <v>224</v>
          </cell>
        </row>
        <row r="670">
          <cell r="A670">
            <v>4</v>
          </cell>
          <cell r="B670">
            <v>2007</v>
          </cell>
          <cell r="C670">
            <v>1</v>
          </cell>
          <cell r="D670" t="str">
            <v>Production</v>
          </cell>
          <cell r="E670" t="str">
            <v>Oil</v>
          </cell>
          <cell r="F670" t="str">
            <v>Conventional</v>
          </cell>
          <cell r="G670">
            <v>0</v>
          </cell>
          <cell r="H670" t="str">
            <v>Production;Oil;Conventional</v>
          </cell>
          <cell r="I670" t="str">
            <v>Oil;Conventional;0;4</v>
          </cell>
          <cell r="J670" t="str">
            <v>AB</v>
          </cell>
          <cell r="K670" t="str">
            <v>Shallow</v>
          </cell>
          <cell r="L670">
            <v>38</v>
          </cell>
          <cell r="M670">
            <v>153</v>
          </cell>
        </row>
        <row r="671">
          <cell r="A671">
            <v>5</v>
          </cell>
          <cell r="B671">
            <v>2000</v>
          </cell>
          <cell r="C671">
            <v>1</v>
          </cell>
          <cell r="D671" t="str">
            <v>Production</v>
          </cell>
          <cell r="E671" t="str">
            <v>Oil</v>
          </cell>
          <cell r="F671" t="str">
            <v>Conventional</v>
          </cell>
          <cell r="G671">
            <v>0</v>
          </cell>
          <cell r="H671" t="str">
            <v>Production;Oil;Conventional</v>
          </cell>
          <cell r="I671" t="str">
            <v>Oil;Conventional;0;5</v>
          </cell>
          <cell r="J671" t="str">
            <v>AB</v>
          </cell>
          <cell r="K671" t="str">
            <v>Deep</v>
          </cell>
          <cell r="L671">
            <v>40</v>
          </cell>
          <cell r="M671">
            <v>645</v>
          </cell>
        </row>
        <row r="672">
          <cell r="A672">
            <v>5</v>
          </cell>
          <cell r="B672">
            <v>2000</v>
          </cell>
          <cell r="C672">
            <v>1</v>
          </cell>
          <cell r="D672" t="str">
            <v>Production</v>
          </cell>
          <cell r="E672" t="str">
            <v>Oil</v>
          </cell>
          <cell r="F672" t="str">
            <v>Conventional</v>
          </cell>
          <cell r="G672">
            <v>0</v>
          </cell>
          <cell r="H672" t="str">
            <v>Production;Oil;Conventional</v>
          </cell>
          <cell r="I672" t="str">
            <v>Oil;Conventional;0;5</v>
          </cell>
          <cell r="J672" t="str">
            <v>AB</v>
          </cell>
          <cell r="K672" t="str">
            <v>Medium</v>
          </cell>
          <cell r="L672">
            <v>161</v>
          </cell>
          <cell r="M672">
            <v>1447.333333</v>
          </cell>
        </row>
        <row r="673">
          <cell r="A673">
            <v>5</v>
          </cell>
          <cell r="B673">
            <v>2000</v>
          </cell>
          <cell r="C673">
            <v>1</v>
          </cell>
          <cell r="D673" t="str">
            <v>Production</v>
          </cell>
          <cell r="E673" t="str">
            <v>Oil</v>
          </cell>
          <cell r="F673" t="str">
            <v>Conventional</v>
          </cell>
          <cell r="G673">
            <v>0</v>
          </cell>
          <cell r="H673" t="str">
            <v>Production;Oil;Conventional</v>
          </cell>
          <cell r="I673" t="str">
            <v>Oil;Conventional;0;5</v>
          </cell>
          <cell r="J673" t="str">
            <v>AB</v>
          </cell>
          <cell r="K673" t="str">
            <v>Shallow</v>
          </cell>
          <cell r="L673">
            <v>77</v>
          </cell>
          <cell r="M673">
            <v>304.76413659999997</v>
          </cell>
        </row>
        <row r="674">
          <cell r="A674">
            <v>5</v>
          </cell>
          <cell r="B674">
            <v>2000</v>
          </cell>
          <cell r="C674">
            <v>2</v>
          </cell>
          <cell r="D674" t="str">
            <v>Production</v>
          </cell>
          <cell r="E674" t="str">
            <v>Oil</v>
          </cell>
          <cell r="F674" t="str">
            <v>Conventional</v>
          </cell>
          <cell r="G674">
            <v>0</v>
          </cell>
          <cell r="H674" t="str">
            <v>Production;Oil;Conventional</v>
          </cell>
          <cell r="I674" t="str">
            <v>Oil;Conventional;0;5</v>
          </cell>
          <cell r="J674" t="str">
            <v>AB</v>
          </cell>
          <cell r="K674" t="str">
            <v>Deep</v>
          </cell>
          <cell r="L674">
            <v>10</v>
          </cell>
          <cell r="M674">
            <v>148</v>
          </cell>
        </row>
        <row r="675">
          <cell r="A675">
            <v>5</v>
          </cell>
          <cell r="B675">
            <v>2000</v>
          </cell>
          <cell r="C675">
            <v>2</v>
          </cell>
          <cell r="D675" t="str">
            <v>Production</v>
          </cell>
          <cell r="E675" t="str">
            <v>Oil</v>
          </cell>
          <cell r="F675" t="str">
            <v>Conventional</v>
          </cell>
          <cell r="G675">
            <v>0</v>
          </cell>
          <cell r="H675" t="str">
            <v>Production;Oil;Conventional</v>
          </cell>
          <cell r="I675" t="str">
            <v>Oil;Conventional;0;5</v>
          </cell>
          <cell r="J675" t="str">
            <v>AB</v>
          </cell>
          <cell r="K675" t="str">
            <v>MEDIUM</v>
          </cell>
          <cell r="L675">
            <v>28</v>
          </cell>
          <cell r="M675">
            <v>426</v>
          </cell>
        </row>
        <row r="676">
          <cell r="A676">
            <v>5</v>
          </cell>
          <cell r="B676">
            <v>2000</v>
          </cell>
          <cell r="C676">
            <v>3</v>
          </cell>
          <cell r="D676" t="str">
            <v>Production</v>
          </cell>
          <cell r="E676" t="str">
            <v>Oil</v>
          </cell>
          <cell r="F676" t="str">
            <v>Conventional</v>
          </cell>
          <cell r="G676">
            <v>0</v>
          </cell>
          <cell r="H676" t="str">
            <v>Production;Oil;Conventional</v>
          </cell>
          <cell r="I676" t="str">
            <v>Oil;Conventional;0;5</v>
          </cell>
          <cell r="J676" t="str">
            <v>AB</v>
          </cell>
          <cell r="K676" t="str">
            <v>Medium</v>
          </cell>
          <cell r="L676">
            <v>4</v>
          </cell>
          <cell r="M676">
            <v>33</v>
          </cell>
        </row>
        <row r="677">
          <cell r="A677">
            <v>5</v>
          </cell>
          <cell r="B677">
            <v>2001</v>
          </cell>
          <cell r="C677">
            <v>1</v>
          </cell>
          <cell r="D677" t="str">
            <v>Production</v>
          </cell>
          <cell r="E677" t="str">
            <v>Oil</v>
          </cell>
          <cell r="F677" t="str">
            <v>Conventional</v>
          </cell>
          <cell r="G677">
            <v>0</v>
          </cell>
          <cell r="H677" t="str">
            <v>Production;Oil;Conventional</v>
          </cell>
          <cell r="I677" t="str">
            <v>Oil;Conventional;0;5</v>
          </cell>
          <cell r="J677" t="str">
            <v>AB</v>
          </cell>
          <cell r="K677" t="str">
            <v>Deep</v>
          </cell>
          <cell r="L677">
            <v>36</v>
          </cell>
          <cell r="M677">
            <v>530</v>
          </cell>
        </row>
        <row r="678">
          <cell r="A678">
            <v>5</v>
          </cell>
          <cell r="B678">
            <v>2001</v>
          </cell>
          <cell r="C678">
            <v>1</v>
          </cell>
          <cell r="D678" t="str">
            <v>Production</v>
          </cell>
          <cell r="E678" t="str">
            <v>Oil</v>
          </cell>
          <cell r="F678" t="str">
            <v>Conventional</v>
          </cell>
          <cell r="G678">
            <v>0</v>
          </cell>
          <cell r="H678" t="str">
            <v>Production;Oil;Conventional</v>
          </cell>
          <cell r="I678" t="str">
            <v>Oil;Conventional;0;5</v>
          </cell>
          <cell r="J678" t="str">
            <v>AB</v>
          </cell>
          <cell r="K678" t="str">
            <v>Medium</v>
          </cell>
          <cell r="L678">
            <v>122</v>
          </cell>
          <cell r="M678">
            <v>1380.5</v>
          </cell>
        </row>
        <row r="679">
          <cell r="A679">
            <v>5</v>
          </cell>
          <cell r="B679">
            <v>2001</v>
          </cell>
          <cell r="C679">
            <v>1</v>
          </cell>
          <cell r="D679" t="str">
            <v>Production</v>
          </cell>
          <cell r="E679" t="str">
            <v>Oil</v>
          </cell>
          <cell r="F679" t="str">
            <v>Conventional</v>
          </cell>
          <cell r="G679">
            <v>0</v>
          </cell>
          <cell r="H679" t="str">
            <v>Production;Oil;Conventional</v>
          </cell>
          <cell r="I679" t="str">
            <v>Oil;Conventional;0;5</v>
          </cell>
          <cell r="J679" t="str">
            <v>AB</v>
          </cell>
          <cell r="K679" t="str">
            <v>Shallow</v>
          </cell>
          <cell r="L679">
            <v>75</v>
          </cell>
          <cell r="M679">
            <v>394.83144989999994</v>
          </cell>
        </row>
        <row r="680">
          <cell r="A680">
            <v>5</v>
          </cell>
          <cell r="B680">
            <v>2001</v>
          </cell>
          <cell r="C680">
            <v>2</v>
          </cell>
          <cell r="D680" t="str">
            <v>Production</v>
          </cell>
          <cell r="E680" t="str">
            <v>Oil</v>
          </cell>
          <cell r="F680" t="str">
            <v>Conventional</v>
          </cell>
          <cell r="G680">
            <v>0</v>
          </cell>
          <cell r="H680" t="str">
            <v>Production;Oil;Conventional</v>
          </cell>
          <cell r="I680" t="str">
            <v>Oil;Conventional;0;5</v>
          </cell>
          <cell r="J680" t="str">
            <v>AB</v>
          </cell>
          <cell r="K680" t="str">
            <v>Deep</v>
          </cell>
          <cell r="L680">
            <v>4</v>
          </cell>
          <cell r="M680">
            <v>70</v>
          </cell>
        </row>
        <row r="681">
          <cell r="A681">
            <v>5</v>
          </cell>
          <cell r="B681">
            <v>2001</v>
          </cell>
          <cell r="C681">
            <v>2</v>
          </cell>
          <cell r="D681" t="str">
            <v>Production</v>
          </cell>
          <cell r="E681" t="str">
            <v>Oil</v>
          </cell>
          <cell r="F681" t="str">
            <v>Conventional</v>
          </cell>
          <cell r="G681">
            <v>0</v>
          </cell>
          <cell r="H681" t="str">
            <v>Production;Oil;Conventional</v>
          </cell>
          <cell r="I681" t="str">
            <v>Oil;Conventional;0;5</v>
          </cell>
          <cell r="J681" t="str">
            <v>AB</v>
          </cell>
          <cell r="K681" t="str">
            <v>MEDIUM</v>
          </cell>
          <cell r="L681">
            <v>24</v>
          </cell>
          <cell r="M681">
            <v>433</v>
          </cell>
        </row>
        <row r="682">
          <cell r="A682">
            <v>5</v>
          </cell>
          <cell r="B682">
            <v>2001</v>
          </cell>
          <cell r="C682">
            <v>3</v>
          </cell>
          <cell r="D682" t="str">
            <v>Production</v>
          </cell>
          <cell r="E682" t="str">
            <v>Oil</v>
          </cell>
          <cell r="F682" t="str">
            <v>Conventional</v>
          </cell>
          <cell r="G682">
            <v>0</v>
          </cell>
          <cell r="H682" t="str">
            <v>Production;Oil;Conventional</v>
          </cell>
          <cell r="I682" t="str">
            <v>Oil;Conventional;0;5</v>
          </cell>
          <cell r="J682" t="str">
            <v>AB</v>
          </cell>
          <cell r="K682" t="str">
            <v>Deep</v>
          </cell>
          <cell r="L682">
            <v>2</v>
          </cell>
          <cell r="M682">
            <v>61</v>
          </cell>
        </row>
        <row r="683">
          <cell r="A683">
            <v>5</v>
          </cell>
          <cell r="B683">
            <v>2002</v>
          </cell>
          <cell r="C683">
            <v>1</v>
          </cell>
          <cell r="D683" t="str">
            <v>Production</v>
          </cell>
          <cell r="E683" t="str">
            <v>Oil</v>
          </cell>
          <cell r="F683" t="str">
            <v>Conventional</v>
          </cell>
          <cell r="G683">
            <v>0</v>
          </cell>
          <cell r="H683" t="str">
            <v>Production;Oil;Conventional</v>
          </cell>
          <cell r="I683" t="str">
            <v>Oil;Conventional;0;5</v>
          </cell>
          <cell r="J683" t="str">
            <v>AB</v>
          </cell>
          <cell r="K683" t="str">
            <v>Deep</v>
          </cell>
          <cell r="L683">
            <v>17</v>
          </cell>
          <cell r="M683">
            <v>217</v>
          </cell>
        </row>
        <row r="684">
          <cell r="A684">
            <v>5</v>
          </cell>
          <cell r="B684">
            <v>2002</v>
          </cell>
          <cell r="C684">
            <v>1</v>
          </cell>
          <cell r="D684" t="str">
            <v>Production</v>
          </cell>
          <cell r="E684" t="str">
            <v>Oil</v>
          </cell>
          <cell r="F684" t="str">
            <v>Conventional</v>
          </cell>
          <cell r="G684">
            <v>0</v>
          </cell>
          <cell r="H684" t="str">
            <v>Production;Oil;Conventional</v>
          </cell>
          <cell r="I684" t="str">
            <v>Oil;Conventional;0;5</v>
          </cell>
          <cell r="J684" t="str">
            <v>AB</v>
          </cell>
          <cell r="K684" t="str">
            <v>Medium</v>
          </cell>
          <cell r="L684">
            <v>134</v>
          </cell>
          <cell r="M684">
            <v>1318</v>
          </cell>
        </row>
        <row r="685">
          <cell r="A685">
            <v>5</v>
          </cell>
          <cell r="B685">
            <v>2002</v>
          </cell>
          <cell r="C685">
            <v>1</v>
          </cell>
          <cell r="D685" t="str">
            <v>Production</v>
          </cell>
          <cell r="E685" t="str">
            <v>Oil</v>
          </cell>
          <cell r="F685" t="str">
            <v>Conventional</v>
          </cell>
          <cell r="G685">
            <v>0</v>
          </cell>
          <cell r="H685" t="str">
            <v>Production;Oil;Conventional</v>
          </cell>
          <cell r="I685" t="str">
            <v>Oil;Conventional;0;5</v>
          </cell>
          <cell r="J685" t="str">
            <v>AB</v>
          </cell>
          <cell r="K685" t="str">
            <v>Shallow</v>
          </cell>
          <cell r="L685">
            <v>53</v>
          </cell>
          <cell r="M685">
            <v>367.27878859999998</v>
          </cell>
        </row>
        <row r="686">
          <cell r="A686">
            <v>5</v>
          </cell>
          <cell r="B686">
            <v>2002</v>
          </cell>
          <cell r="C686">
            <v>2</v>
          </cell>
          <cell r="D686" t="str">
            <v>Production</v>
          </cell>
          <cell r="E686" t="str">
            <v>Oil</v>
          </cell>
          <cell r="F686" t="str">
            <v>Conventional</v>
          </cell>
          <cell r="G686">
            <v>0</v>
          </cell>
          <cell r="H686" t="str">
            <v>Production;Oil;Conventional</v>
          </cell>
          <cell r="I686" t="str">
            <v>Oil;Conventional;0;5</v>
          </cell>
          <cell r="J686" t="str">
            <v>AB</v>
          </cell>
          <cell r="K686" t="str">
            <v>Deep</v>
          </cell>
          <cell r="L686">
            <v>3</v>
          </cell>
          <cell r="M686">
            <v>38</v>
          </cell>
        </row>
        <row r="687">
          <cell r="A687">
            <v>5</v>
          </cell>
          <cell r="B687">
            <v>2002</v>
          </cell>
          <cell r="C687">
            <v>2</v>
          </cell>
          <cell r="D687" t="str">
            <v>Production</v>
          </cell>
          <cell r="E687" t="str">
            <v>Oil</v>
          </cell>
          <cell r="F687" t="str">
            <v>Conventional</v>
          </cell>
          <cell r="G687">
            <v>0</v>
          </cell>
          <cell r="H687" t="str">
            <v>Production;Oil;Conventional</v>
          </cell>
          <cell r="I687" t="str">
            <v>Oil;Conventional;0;5</v>
          </cell>
          <cell r="J687" t="str">
            <v>AB</v>
          </cell>
          <cell r="K687" t="str">
            <v>Medium</v>
          </cell>
          <cell r="L687">
            <v>14</v>
          </cell>
          <cell r="M687">
            <v>158</v>
          </cell>
        </row>
        <row r="688">
          <cell r="A688">
            <v>5</v>
          </cell>
          <cell r="B688">
            <v>2003</v>
          </cell>
          <cell r="C688">
            <v>1</v>
          </cell>
          <cell r="D688" t="str">
            <v>Production</v>
          </cell>
          <cell r="E688" t="str">
            <v>Oil</v>
          </cell>
          <cell r="F688" t="str">
            <v>Conventional</v>
          </cell>
          <cell r="G688">
            <v>0</v>
          </cell>
          <cell r="H688" t="str">
            <v>Production;Oil;Conventional</v>
          </cell>
          <cell r="I688" t="str">
            <v>Oil;Conventional;0;5</v>
          </cell>
          <cell r="J688" t="str">
            <v>AB</v>
          </cell>
          <cell r="K688" t="str">
            <v>Deep</v>
          </cell>
          <cell r="L688">
            <v>10</v>
          </cell>
          <cell r="M688">
            <v>137</v>
          </cell>
        </row>
        <row r="689">
          <cell r="A689">
            <v>5</v>
          </cell>
          <cell r="B689">
            <v>2003</v>
          </cell>
          <cell r="C689">
            <v>1</v>
          </cell>
          <cell r="D689" t="str">
            <v>Production</v>
          </cell>
          <cell r="E689" t="str">
            <v>Oil</v>
          </cell>
          <cell r="F689" t="str">
            <v>Conventional</v>
          </cell>
          <cell r="G689">
            <v>0</v>
          </cell>
          <cell r="H689" t="str">
            <v>Production;Oil;Conventional</v>
          </cell>
          <cell r="I689" t="str">
            <v>Oil;Conventional;0;5</v>
          </cell>
          <cell r="J689" t="str">
            <v>AB</v>
          </cell>
          <cell r="K689" t="str">
            <v>Medium</v>
          </cell>
          <cell r="L689">
            <v>177</v>
          </cell>
          <cell r="M689">
            <v>1807.5</v>
          </cell>
        </row>
        <row r="690">
          <cell r="A690">
            <v>5</v>
          </cell>
          <cell r="B690">
            <v>2003</v>
          </cell>
          <cell r="C690">
            <v>1</v>
          </cell>
          <cell r="D690" t="str">
            <v>Production</v>
          </cell>
          <cell r="E690" t="str">
            <v>Oil</v>
          </cell>
          <cell r="F690" t="str">
            <v>Conventional</v>
          </cell>
          <cell r="G690">
            <v>0</v>
          </cell>
          <cell r="H690" t="str">
            <v>Production;Oil;Conventional</v>
          </cell>
          <cell r="I690" t="str">
            <v>Oil;Conventional;0;5</v>
          </cell>
          <cell r="J690" t="str">
            <v>AB</v>
          </cell>
          <cell r="K690" t="str">
            <v>Shallow</v>
          </cell>
          <cell r="L690">
            <v>96</v>
          </cell>
          <cell r="M690">
            <v>521.96666589999995</v>
          </cell>
        </row>
        <row r="691">
          <cell r="A691">
            <v>5</v>
          </cell>
          <cell r="B691">
            <v>2003</v>
          </cell>
          <cell r="C691">
            <v>2</v>
          </cell>
          <cell r="D691" t="str">
            <v>Production</v>
          </cell>
          <cell r="E691" t="str">
            <v>Oil</v>
          </cell>
          <cell r="F691" t="str">
            <v>Conventional</v>
          </cell>
          <cell r="G691">
            <v>0</v>
          </cell>
          <cell r="H691" t="str">
            <v>Production;Oil;Conventional</v>
          </cell>
          <cell r="I691" t="str">
            <v>Oil;Conventional;0;5</v>
          </cell>
          <cell r="J691" t="str">
            <v>AB</v>
          </cell>
          <cell r="K691" t="str">
            <v>Deep</v>
          </cell>
          <cell r="L691">
            <v>1</v>
          </cell>
          <cell r="M691">
            <v>14</v>
          </cell>
        </row>
        <row r="692">
          <cell r="A692">
            <v>5</v>
          </cell>
          <cell r="B692">
            <v>2003</v>
          </cell>
          <cell r="C692">
            <v>2</v>
          </cell>
          <cell r="D692" t="str">
            <v>Production</v>
          </cell>
          <cell r="E692" t="str">
            <v>Oil</v>
          </cell>
          <cell r="F692" t="str">
            <v>Conventional</v>
          </cell>
          <cell r="G692">
            <v>0</v>
          </cell>
          <cell r="H692" t="str">
            <v>Production;Oil;Conventional</v>
          </cell>
          <cell r="I692" t="str">
            <v>Oil;Conventional;0;5</v>
          </cell>
          <cell r="J692" t="str">
            <v>AB</v>
          </cell>
          <cell r="K692" t="str">
            <v>Medium</v>
          </cell>
          <cell r="L692">
            <v>3</v>
          </cell>
          <cell r="M692">
            <v>40</v>
          </cell>
        </row>
        <row r="693">
          <cell r="A693">
            <v>5</v>
          </cell>
          <cell r="B693">
            <v>2003</v>
          </cell>
          <cell r="C693">
            <v>3</v>
          </cell>
          <cell r="D693" t="str">
            <v>Production</v>
          </cell>
          <cell r="E693" t="str">
            <v>Oil</v>
          </cell>
          <cell r="F693" t="str">
            <v>Conventional</v>
          </cell>
          <cell r="G693">
            <v>0</v>
          </cell>
          <cell r="H693" t="str">
            <v>Production;Oil;Conventional</v>
          </cell>
          <cell r="I693" t="str">
            <v>Oil;Conventional;0;5</v>
          </cell>
          <cell r="J693" t="str">
            <v>AB</v>
          </cell>
          <cell r="K693" t="str">
            <v>Deep</v>
          </cell>
          <cell r="L693">
            <v>1</v>
          </cell>
          <cell r="M693">
            <v>37</v>
          </cell>
        </row>
        <row r="694">
          <cell r="A694">
            <v>5</v>
          </cell>
          <cell r="B694">
            <v>2004</v>
          </cell>
          <cell r="C694">
            <v>1</v>
          </cell>
          <cell r="D694" t="str">
            <v>Production</v>
          </cell>
          <cell r="E694" t="str">
            <v>Oil</v>
          </cell>
          <cell r="F694" t="str">
            <v>Conventional</v>
          </cell>
          <cell r="G694">
            <v>0</v>
          </cell>
          <cell r="H694" t="str">
            <v>Production;Oil;Conventional</v>
          </cell>
          <cell r="I694" t="str">
            <v>Oil;Conventional;0;5</v>
          </cell>
          <cell r="J694" t="str">
            <v>AB</v>
          </cell>
          <cell r="K694" t="str">
            <v>Deep</v>
          </cell>
          <cell r="L694">
            <v>17</v>
          </cell>
          <cell r="M694">
            <v>174</v>
          </cell>
        </row>
        <row r="695">
          <cell r="A695">
            <v>5</v>
          </cell>
          <cell r="B695">
            <v>2004</v>
          </cell>
          <cell r="C695">
            <v>1</v>
          </cell>
          <cell r="D695" t="str">
            <v>Production</v>
          </cell>
          <cell r="E695" t="str">
            <v>Oil</v>
          </cell>
          <cell r="F695" t="str">
            <v>Conventional</v>
          </cell>
          <cell r="G695">
            <v>0</v>
          </cell>
          <cell r="H695" t="str">
            <v>Production;Oil;Conventional</v>
          </cell>
          <cell r="I695" t="str">
            <v>Oil;Conventional;0;5</v>
          </cell>
          <cell r="J695" t="str">
            <v>AB</v>
          </cell>
          <cell r="K695" t="str">
            <v>Medium</v>
          </cell>
          <cell r="L695">
            <v>188</v>
          </cell>
          <cell r="M695">
            <v>1606</v>
          </cell>
        </row>
        <row r="696">
          <cell r="A696">
            <v>5</v>
          </cell>
          <cell r="B696">
            <v>2004</v>
          </cell>
          <cell r="C696">
            <v>1</v>
          </cell>
          <cell r="D696" t="str">
            <v>Production</v>
          </cell>
          <cell r="E696" t="str">
            <v>Oil</v>
          </cell>
          <cell r="F696" t="str">
            <v>Conventional</v>
          </cell>
          <cell r="G696">
            <v>0</v>
          </cell>
          <cell r="H696" t="str">
            <v>Production;Oil;Conventional</v>
          </cell>
          <cell r="I696" t="str">
            <v>Oil;Conventional;0;5</v>
          </cell>
          <cell r="J696" t="str">
            <v>AB</v>
          </cell>
          <cell r="K696" t="str">
            <v>Shallow</v>
          </cell>
          <cell r="L696">
            <v>51</v>
          </cell>
          <cell r="M696">
            <v>265.89999999999998</v>
          </cell>
        </row>
        <row r="697">
          <cell r="A697">
            <v>5</v>
          </cell>
          <cell r="B697">
            <v>2004</v>
          </cell>
          <cell r="C697">
            <v>2</v>
          </cell>
          <cell r="D697" t="str">
            <v>Production</v>
          </cell>
          <cell r="E697" t="str">
            <v>Oil</v>
          </cell>
          <cell r="F697" t="str">
            <v>Conventional</v>
          </cell>
          <cell r="G697">
            <v>0</v>
          </cell>
          <cell r="H697" t="str">
            <v>Production;Oil;Conventional</v>
          </cell>
          <cell r="I697" t="str">
            <v>Oil;Conventional;0;5</v>
          </cell>
          <cell r="J697" t="str">
            <v>AB</v>
          </cell>
          <cell r="K697" t="str">
            <v>DEEP</v>
          </cell>
          <cell r="L697">
            <v>11</v>
          </cell>
          <cell r="M697">
            <v>193</v>
          </cell>
        </row>
        <row r="698">
          <cell r="A698">
            <v>5</v>
          </cell>
          <cell r="B698">
            <v>2004</v>
          </cell>
          <cell r="C698">
            <v>2</v>
          </cell>
          <cell r="D698" t="str">
            <v>Production</v>
          </cell>
          <cell r="E698" t="str">
            <v>Oil</v>
          </cell>
          <cell r="F698" t="str">
            <v>Conventional</v>
          </cell>
          <cell r="G698">
            <v>0</v>
          </cell>
          <cell r="H698" t="str">
            <v>Production;Oil;Conventional</v>
          </cell>
          <cell r="I698" t="str">
            <v>Oil;Conventional;0;5</v>
          </cell>
          <cell r="J698" t="str">
            <v>AB</v>
          </cell>
          <cell r="K698" t="str">
            <v>Medium</v>
          </cell>
          <cell r="L698">
            <v>12</v>
          </cell>
          <cell r="M698">
            <v>194.5</v>
          </cell>
        </row>
        <row r="699">
          <cell r="A699">
            <v>5</v>
          </cell>
          <cell r="B699">
            <v>2004</v>
          </cell>
          <cell r="C699">
            <v>3</v>
          </cell>
          <cell r="D699" t="str">
            <v>Production</v>
          </cell>
          <cell r="E699" t="str">
            <v>Oil</v>
          </cell>
          <cell r="F699" t="str">
            <v>Conventional</v>
          </cell>
          <cell r="G699">
            <v>0</v>
          </cell>
          <cell r="H699" t="str">
            <v>Production;Oil;Conventional</v>
          </cell>
          <cell r="I699" t="str">
            <v>Oil;Conventional;0;5</v>
          </cell>
          <cell r="J699" t="str">
            <v>AB</v>
          </cell>
          <cell r="K699" t="str">
            <v>DEEP</v>
          </cell>
          <cell r="L699">
            <v>1</v>
          </cell>
          <cell r="M699">
            <v>12</v>
          </cell>
        </row>
        <row r="700">
          <cell r="A700">
            <v>5</v>
          </cell>
          <cell r="B700">
            <v>2005</v>
          </cell>
          <cell r="C700">
            <v>1</v>
          </cell>
          <cell r="D700" t="str">
            <v>Production</v>
          </cell>
          <cell r="E700" t="str">
            <v>Oil</v>
          </cell>
          <cell r="F700" t="str">
            <v>Conventional</v>
          </cell>
          <cell r="G700">
            <v>0</v>
          </cell>
          <cell r="H700" t="str">
            <v>Production;Oil;Conventional</v>
          </cell>
          <cell r="I700" t="str">
            <v>Oil;Conventional;0;5</v>
          </cell>
          <cell r="J700" t="str">
            <v>AB</v>
          </cell>
          <cell r="K700" t="str">
            <v>Deep</v>
          </cell>
          <cell r="L700">
            <v>31</v>
          </cell>
          <cell r="M700">
            <v>597</v>
          </cell>
        </row>
        <row r="701">
          <cell r="A701">
            <v>5</v>
          </cell>
          <cell r="B701">
            <v>2005</v>
          </cell>
          <cell r="C701">
            <v>1</v>
          </cell>
          <cell r="D701" t="str">
            <v>Production</v>
          </cell>
          <cell r="E701" t="str">
            <v>Oil</v>
          </cell>
          <cell r="F701" t="str">
            <v>Conventional</v>
          </cell>
          <cell r="G701">
            <v>0</v>
          </cell>
          <cell r="H701" t="str">
            <v>Production;Oil;Conventional</v>
          </cell>
          <cell r="I701" t="str">
            <v>Oil;Conventional;0;5</v>
          </cell>
          <cell r="J701" t="str">
            <v>AB</v>
          </cell>
          <cell r="K701" t="str">
            <v>Medium</v>
          </cell>
          <cell r="L701">
            <v>218</v>
          </cell>
          <cell r="M701">
            <v>2341.9666999999999</v>
          </cell>
        </row>
        <row r="702">
          <cell r="A702">
            <v>5</v>
          </cell>
          <cell r="B702">
            <v>2005</v>
          </cell>
          <cell r="C702">
            <v>1</v>
          </cell>
          <cell r="D702" t="str">
            <v>Production</v>
          </cell>
          <cell r="E702" t="str">
            <v>Oil</v>
          </cell>
          <cell r="F702" t="str">
            <v>Conventional</v>
          </cell>
          <cell r="G702">
            <v>0</v>
          </cell>
          <cell r="H702" t="str">
            <v>Production;Oil;Conventional</v>
          </cell>
          <cell r="I702" t="str">
            <v>Oil;Conventional;0;5</v>
          </cell>
          <cell r="J702" t="str">
            <v>AB</v>
          </cell>
          <cell r="K702" t="str">
            <v>Shallow</v>
          </cell>
          <cell r="L702">
            <v>99</v>
          </cell>
          <cell r="M702">
            <v>529.36031650000007</v>
          </cell>
        </row>
        <row r="703">
          <cell r="A703">
            <v>5</v>
          </cell>
          <cell r="B703">
            <v>2005</v>
          </cell>
          <cell r="C703">
            <v>2</v>
          </cell>
          <cell r="D703" t="str">
            <v>Production</v>
          </cell>
          <cell r="E703" t="str">
            <v>Oil</v>
          </cell>
          <cell r="F703" t="str">
            <v>Conventional</v>
          </cell>
          <cell r="G703">
            <v>0</v>
          </cell>
          <cell r="H703" t="str">
            <v>Production;Oil;Conventional</v>
          </cell>
          <cell r="I703" t="str">
            <v>Oil;Conventional;0;5</v>
          </cell>
          <cell r="J703" t="str">
            <v>AB</v>
          </cell>
          <cell r="K703" t="str">
            <v>Deep</v>
          </cell>
          <cell r="L703">
            <v>4</v>
          </cell>
          <cell r="M703">
            <v>83</v>
          </cell>
        </row>
        <row r="704">
          <cell r="A704">
            <v>5</v>
          </cell>
          <cell r="B704">
            <v>2005</v>
          </cell>
          <cell r="C704">
            <v>2</v>
          </cell>
          <cell r="D704" t="str">
            <v>Production</v>
          </cell>
          <cell r="E704" t="str">
            <v>Oil</v>
          </cell>
          <cell r="F704" t="str">
            <v>Conventional</v>
          </cell>
          <cell r="G704">
            <v>0</v>
          </cell>
          <cell r="H704" t="str">
            <v>Production;Oil;Conventional</v>
          </cell>
          <cell r="I704" t="str">
            <v>Oil;Conventional;0;5</v>
          </cell>
          <cell r="J704" t="str">
            <v>AB</v>
          </cell>
          <cell r="K704" t="str">
            <v>Medium</v>
          </cell>
          <cell r="L704">
            <v>7</v>
          </cell>
          <cell r="M704">
            <v>98</v>
          </cell>
        </row>
        <row r="705">
          <cell r="A705">
            <v>5</v>
          </cell>
          <cell r="B705">
            <v>2005</v>
          </cell>
          <cell r="C705">
            <v>2</v>
          </cell>
          <cell r="D705" t="str">
            <v>Production</v>
          </cell>
          <cell r="E705" t="str">
            <v>Oil</v>
          </cell>
          <cell r="F705" t="str">
            <v>Conventional</v>
          </cell>
          <cell r="G705">
            <v>0</v>
          </cell>
          <cell r="H705" t="str">
            <v>Production;Oil;Conventional</v>
          </cell>
          <cell r="I705" t="str">
            <v>Oil;Conventional;0;5</v>
          </cell>
          <cell r="J705" t="str">
            <v>AB</v>
          </cell>
          <cell r="K705" t="str">
            <v>Shallow</v>
          </cell>
          <cell r="L705">
            <v>1</v>
          </cell>
          <cell r="M705">
            <v>6.5</v>
          </cell>
        </row>
        <row r="706">
          <cell r="A706">
            <v>5</v>
          </cell>
          <cell r="B706">
            <v>2006</v>
          </cell>
          <cell r="C706">
            <v>1</v>
          </cell>
          <cell r="D706" t="str">
            <v>Production</v>
          </cell>
          <cell r="E706" t="str">
            <v>Oil</v>
          </cell>
          <cell r="F706" t="str">
            <v>Conventional</v>
          </cell>
          <cell r="G706">
            <v>0</v>
          </cell>
          <cell r="H706" t="str">
            <v>Production;Oil;Conventional</v>
          </cell>
          <cell r="I706" t="str">
            <v>Oil;Conventional;0;5</v>
          </cell>
          <cell r="J706" t="str">
            <v>AB</v>
          </cell>
          <cell r="K706" t="str">
            <v>Deep</v>
          </cell>
          <cell r="L706">
            <v>20</v>
          </cell>
          <cell r="M706">
            <v>300.83333299999998</v>
          </cell>
        </row>
        <row r="707">
          <cell r="A707">
            <v>5</v>
          </cell>
          <cell r="B707">
            <v>2006</v>
          </cell>
          <cell r="C707">
            <v>1</v>
          </cell>
          <cell r="D707" t="str">
            <v>Production</v>
          </cell>
          <cell r="E707" t="str">
            <v>Oil</v>
          </cell>
          <cell r="F707" t="str">
            <v>Conventional</v>
          </cell>
          <cell r="G707">
            <v>0</v>
          </cell>
          <cell r="H707" t="str">
            <v>Production;Oil;Conventional</v>
          </cell>
          <cell r="I707" t="str">
            <v>Oil;Conventional;0;5</v>
          </cell>
          <cell r="J707" t="str">
            <v>AB</v>
          </cell>
          <cell r="K707" t="str">
            <v>Medium</v>
          </cell>
          <cell r="L707">
            <v>160</v>
          </cell>
          <cell r="M707">
            <v>1608.799996</v>
          </cell>
        </row>
        <row r="708">
          <cell r="A708">
            <v>5</v>
          </cell>
          <cell r="B708">
            <v>2006</v>
          </cell>
          <cell r="C708">
            <v>1</v>
          </cell>
          <cell r="D708" t="str">
            <v>Production</v>
          </cell>
          <cell r="E708" t="str">
            <v>Oil</v>
          </cell>
          <cell r="F708" t="str">
            <v>Conventional</v>
          </cell>
          <cell r="G708">
            <v>0</v>
          </cell>
          <cell r="H708" t="str">
            <v>Production;Oil;Conventional</v>
          </cell>
          <cell r="I708" t="str">
            <v>Oil;Conventional;0;5</v>
          </cell>
          <cell r="J708" t="str">
            <v>AB</v>
          </cell>
          <cell r="K708" t="str">
            <v>Shallow</v>
          </cell>
          <cell r="L708">
            <v>92</v>
          </cell>
          <cell r="M708">
            <v>484.79523399999999</v>
          </cell>
        </row>
        <row r="709">
          <cell r="A709">
            <v>5</v>
          </cell>
          <cell r="B709">
            <v>2006</v>
          </cell>
          <cell r="C709">
            <v>2</v>
          </cell>
          <cell r="D709" t="str">
            <v>Production</v>
          </cell>
          <cell r="E709" t="str">
            <v>Oil</v>
          </cell>
          <cell r="F709" t="str">
            <v>Conventional</v>
          </cell>
          <cell r="G709">
            <v>0</v>
          </cell>
          <cell r="H709" t="str">
            <v>Production;Oil;Conventional</v>
          </cell>
          <cell r="I709" t="str">
            <v>Oil;Conventional;0;5</v>
          </cell>
          <cell r="J709" t="str">
            <v>AB</v>
          </cell>
          <cell r="K709" t="str">
            <v>Deep</v>
          </cell>
          <cell r="L709">
            <v>2</v>
          </cell>
          <cell r="M709">
            <v>13</v>
          </cell>
        </row>
        <row r="710">
          <cell r="A710">
            <v>5</v>
          </cell>
          <cell r="B710">
            <v>2006</v>
          </cell>
          <cell r="C710">
            <v>2</v>
          </cell>
          <cell r="D710" t="str">
            <v>Production</v>
          </cell>
          <cell r="E710" t="str">
            <v>Oil</v>
          </cell>
          <cell r="F710" t="str">
            <v>Conventional</v>
          </cell>
          <cell r="G710">
            <v>0</v>
          </cell>
          <cell r="H710" t="str">
            <v>Production;Oil;Conventional</v>
          </cell>
          <cell r="I710" t="str">
            <v>Oil;Conventional;0;5</v>
          </cell>
          <cell r="J710" t="str">
            <v>AB</v>
          </cell>
          <cell r="K710" t="str">
            <v>Medium</v>
          </cell>
          <cell r="L710">
            <v>3</v>
          </cell>
          <cell r="M710">
            <v>39</v>
          </cell>
        </row>
        <row r="711">
          <cell r="A711">
            <v>5</v>
          </cell>
          <cell r="B711">
            <v>2007</v>
          </cell>
          <cell r="C711">
            <v>1</v>
          </cell>
          <cell r="D711" t="str">
            <v>Production</v>
          </cell>
          <cell r="E711" t="str">
            <v>Oil</v>
          </cell>
          <cell r="F711" t="str">
            <v>Conventional</v>
          </cell>
          <cell r="G711">
            <v>0</v>
          </cell>
          <cell r="H711" t="str">
            <v>Production;Oil;Conventional</v>
          </cell>
          <cell r="I711" t="str">
            <v>Oil;Conventional;0;5</v>
          </cell>
          <cell r="J711" t="str">
            <v>AB</v>
          </cell>
          <cell r="K711" t="str">
            <v>Deep</v>
          </cell>
          <cell r="L711">
            <v>8</v>
          </cell>
          <cell r="M711">
            <v>79</v>
          </cell>
        </row>
        <row r="712">
          <cell r="A712">
            <v>5</v>
          </cell>
          <cell r="B712">
            <v>2007</v>
          </cell>
          <cell r="C712">
            <v>1</v>
          </cell>
          <cell r="D712" t="str">
            <v>Production</v>
          </cell>
          <cell r="E712" t="str">
            <v>Oil</v>
          </cell>
          <cell r="F712" t="str">
            <v>Conventional</v>
          </cell>
          <cell r="G712">
            <v>0</v>
          </cell>
          <cell r="H712" t="str">
            <v>Production;Oil;Conventional</v>
          </cell>
          <cell r="I712" t="str">
            <v>Oil;Conventional;0;5</v>
          </cell>
          <cell r="J712" t="str">
            <v>AB</v>
          </cell>
          <cell r="K712" t="str">
            <v>Medium</v>
          </cell>
          <cell r="L712">
            <v>11</v>
          </cell>
          <cell r="M712">
            <v>115</v>
          </cell>
        </row>
        <row r="713">
          <cell r="A713">
            <v>5</v>
          </cell>
          <cell r="B713">
            <v>2007</v>
          </cell>
          <cell r="C713">
            <v>1</v>
          </cell>
          <cell r="D713" t="str">
            <v>Production</v>
          </cell>
          <cell r="E713" t="str">
            <v>Oil</v>
          </cell>
          <cell r="F713" t="str">
            <v>Conventional</v>
          </cell>
          <cell r="G713">
            <v>0</v>
          </cell>
          <cell r="H713" t="str">
            <v>Production;Oil;Conventional</v>
          </cell>
          <cell r="I713" t="str">
            <v>Oil;Conventional;0;5</v>
          </cell>
          <cell r="J713" t="str">
            <v>AB</v>
          </cell>
          <cell r="K713" t="str">
            <v>Shallow</v>
          </cell>
          <cell r="L713">
            <v>10</v>
          </cell>
          <cell r="M713">
            <v>41</v>
          </cell>
        </row>
        <row r="714">
          <cell r="A714">
            <v>6</v>
          </cell>
          <cell r="B714">
            <v>2000</v>
          </cell>
          <cell r="C714">
            <v>1</v>
          </cell>
          <cell r="D714" t="str">
            <v>Production</v>
          </cell>
          <cell r="E714" t="str">
            <v>Oil</v>
          </cell>
          <cell r="F714" t="str">
            <v>Conventional</v>
          </cell>
          <cell r="G714">
            <v>0</v>
          </cell>
          <cell r="H714" t="str">
            <v>Production;Oil;Conventional</v>
          </cell>
          <cell r="I714" t="str">
            <v>Oil;Conventional;0;6</v>
          </cell>
          <cell r="J714" t="str">
            <v>AB</v>
          </cell>
          <cell r="K714" t="str">
            <v>Medium</v>
          </cell>
          <cell r="L714">
            <v>1</v>
          </cell>
          <cell r="M714">
            <v>6.3333329999999997</v>
          </cell>
        </row>
        <row r="715">
          <cell r="A715">
            <v>6</v>
          </cell>
          <cell r="B715">
            <v>2000</v>
          </cell>
          <cell r="C715">
            <v>1</v>
          </cell>
          <cell r="D715" t="str">
            <v>Production</v>
          </cell>
          <cell r="E715" t="str">
            <v>Oil</v>
          </cell>
          <cell r="F715" t="str">
            <v>Conventional</v>
          </cell>
          <cell r="G715">
            <v>0</v>
          </cell>
          <cell r="H715" t="str">
            <v>Production;Oil;Conventional</v>
          </cell>
          <cell r="I715" t="str">
            <v>Oil;Conventional;0;6</v>
          </cell>
          <cell r="J715" t="str">
            <v>AB</v>
          </cell>
          <cell r="K715" t="str">
            <v>Shallow</v>
          </cell>
          <cell r="L715">
            <v>1</v>
          </cell>
          <cell r="M715">
            <v>8</v>
          </cell>
        </row>
        <row r="716">
          <cell r="A716">
            <v>6</v>
          </cell>
          <cell r="B716">
            <v>2001</v>
          </cell>
          <cell r="C716">
            <v>1</v>
          </cell>
          <cell r="D716" t="str">
            <v>Production</v>
          </cell>
          <cell r="E716" t="str">
            <v>Oil</v>
          </cell>
          <cell r="F716" t="str">
            <v>Conventional</v>
          </cell>
          <cell r="G716">
            <v>0</v>
          </cell>
          <cell r="H716" t="str">
            <v>Production;Oil;Conventional</v>
          </cell>
          <cell r="I716" t="str">
            <v>Oil;Conventional;0;6</v>
          </cell>
          <cell r="J716" t="str">
            <v>AB</v>
          </cell>
          <cell r="K716" t="str">
            <v>MEDIUM</v>
          </cell>
          <cell r="L716">
            <v>2</v>
          </cell>
          <cell r="M716">
            <v>8</v>
          </cell>
        </row>
        <row r="717">
          <cell r="A717">
            <v>6</v>
          </cell>
          <cell r="B717">
            <v>2002</v>
          </cell>
          <cell r="C717">
            <v>1</v>
          </cell>
          <cell r="D717" t="str">
            <v>Production</v>
          </cell>
          <cell r="E717" t="str">
            <v>Oil</v>
          </cell>
          <cell r="F717" t="str">
            <v>Conventional</v>
          </cell>
          <cell r="G717">
            <v>0</v>
          </cell>
          <cell r="H717" t="str">
            <v>Production;Oil;Conventional</v>
          </cell>
          <cell r="I717" t="str">
            <v>Oil;Conventional;0;6</v>
          </cell>
          <cell r="J717" t="str">
            <v>AB</v>
          </cell>
          <cell r="K717" t="str">
            <v>Shallow</v>
          </cell>
          <cell r="L717">
            <v>1</v>
          </cell>
          <cell r="M717">
            <v>3</v>
          </cell>
        </row>
        <row r="718">
          <cell r="A718">
            <v>6</v>
          </cell>
          <cell r="B718">
            <v>2003</v>
          </cell>
          <cell r="C718">
            <v>1</v>
          </cell>
          <cell r="D718" t="str">
            <v>Production</v>
          </cell>
          <cell r="E718" t="str">
            <v>Oil</v>
          </cell>
          <cell r="F718" t="str">
            <v>Conventional</v>
          </cell>
          <cell r="G718">
            <v>0</v>
          </cell>
          <cell r="H718" t="str">
            <v>Production;Oil;Conventional</v>
          </cell>
          <cell r="I718" t="str">
            <v>Oil;Conventional;0;6</v>
          </cell>
          <cell r="J718" t="str">
            <v>AB</v>
          </cell>
          <cell r="K718" t="str">
            <v>Shallow</v>
          </cell>
          <cell r="L718">
            <v>1</v>
          </cell>
          <cell r="M718">
            <v>3</v>
          </cell>
        </row>
        <row r="719">
          <cell r="A719">
            <v>6</v>
          </cell>
          <cell r="B719">
            <v>2005</v>
          </cell>
          <cell r="C719">
            <v>1</v>
          </cell>
          <cell r="D719" t="str">
            <v>Production</v>
          </cell>
          <cell r="E719" t="str">
            <v>Oil</v>
          </cell>
          <cell r="F719" t="str">
            <v>Conventional</v>
          </cell>
          <cell r="G719">
            <v>0</v>
          </cell>
          <cell r="H719" t="str">
            <v>Production;Oil;Conventional</v>
          </cell>
          <cell r="I719" t="str">
            <v>Oil;Conventional;0;6</v>
          </cell>
          <cell r="J719" t="str">
            <v>AB</v>
          </cell>
          <cell r="K719" t="str">
            <v>Medium</v>
          </cell>
          <cell r="L719">
            <v>1</v>
          </cell>
          <cell r="M719">
            <v>5.6666670000000003</v>
          </cell>
        </row>
        <row r="720">
          <cell r="A720">
            <v>6</v>
          </cell>
          <cell r="B720">
            <v>2005</v>
          </cell>
          <cell r="C720">
            <v>1</v>
          </cell>
          <cell r="D720" t="str">
            <v>Production</v>
          </cell>
          <cell r="E720" t="str">
            <v>Oil</v>
          </cell>
          <cell r="F720" t="str">
            <v>Conventional</v>
          </cell>
          <cell r="G720">
            <v>0</v>
          </cell>
          <cell r="H720" t="str">
            <v>Production;Oil;Conventional</v>
          </cell>
          <cell r="I720" t="str">
            <v>Oil;Conventional;0;6</v>
          </cell>
          <cell r="J720" t="str">
            <v>AB</v>
          </cell>
          <cell r="K720" t="str">
            <v>Shallow</v>
          </cell>
          <cell r="L720">
            <v>1</v>
          </cell>
          <cell r="M720">
            <v>4</v>
          </cell>
        </row>
        <row r="721">
          <cell r="A721">
            <v>6</v>
          </cell>
          <cell r="B721">
            <v>2006</v>
          </cell>
          <cell r="C721">
            <v>1</v>
          </cell>
          <cell r="D721" t="str">
            <v>Production</v>
          </cell>
          <cell r="E721" t="str">
            <v>Oil</v>
          </cell>
          <cell r="F721" t="str">
            <v>Conventional</v>
          </cell>
          <cell r="G721">
            <v>0</v>
          </cell>
          <cell r="H721" t="str">
            <v>Production;Oil;Conventional</v>
          </cell>
          <cell r="I721" t="str">
            <v>Oil;Conventional;0;6</v>
          </cell>
          <cell r="J721" t="str">
            <v>AB</v>
          </cell>
          <cell r="K721" t="str">
            <v>Deep</v>
          </cell>
          <cell r="L721">
            <v>1</v>
          </cell>
          <cell r="M721">
            <v>3</v>
          </cell>
        </row>
        <row r="722">
          <cell r="A722">
            <v>6</v>
          </cell>
          <cell r="B722">
            <v>2006</v>
          </cell>
          <cell r="C722">
            <v>1</v>
          </cell>
          <cell r="D722" t="str">
            <v>Production</v>
          </cell>
          <cell r="E722" t="str">
            <v>Oil</v>
          </cell>
          <cell r="F722" t="str">
            <v>Conventional</v>
          </cell>
          <cell r="G722">
            <v>0</v>
          </cell>
          <cell r="H722" t="str">
            <v>Production;Oil;Conventional</v>
          </cell>
          <cell r="I722" t="str">
            <v>Oil;Conventional;0;6</v>
          </cell>
          <cell r="J722" t="str">
            <v>AB</v>
          </cell>
          <cell r="K722" t="str">
            <v>Medium</v>
          </cell>
          <cell r="L722">
            <v>6</v>
          </cell>
          <cell r="M722">
            <v>32.494481</v>
          </cell>
        </row>
        <row r="723">
          <cell r="A723">
            <v>6</v>
          </cell>
          <cell r="B723">
            <v>2006</v>
          </cell>
          <cell r="C723">
            <v>1</v>
          </cell>
          <cell r="D723" t="str">
            <v>Production</v>
          </cell>
          <cell r="E723" t="str">
            <v>Oil</v>
          </cell>
          <cell r="F723" t="str">
            <v>Conventional</v>
          </cell>
          <cell r="G723">
            <v>0</v>
          </cell>
          <cell r="H723" t="str">
            <v>Production;Oil;Conventional</v>
          </cell>
          <cell r="I723" t="str">
            <v>Oil;Conventional;0;6</v>
          </cell>
          <cell r="J723" t="str">
            <v>AB</v>
          </cell>
          <cell r="K723" t="str">
            <v>Shallow</v>
          </cell>
          <cell r="L723">
            <v>5</v>
          </cell>
          <cell r="M723">
            <v>15</v>
          </cell>
        </row>
        <row r="724">
          <cell r="A724">
            <v>6</v>
          </cell>
          <cell r="B724">
            <v>2007</v>
          </cell>
          <cell r="C724">
            <v>1</v>
          </cell>
          <cell r="D724" t="str">
            <v>Production</v>
          </cell>
          <cell r="E724" t="str">
            <v>Oil</v>
          </cell>
          <cell r="F724" t="str">
            <v>Conventional</v>
          </cell>
          <cell r="G724">
            <v>0</v>
          </cell>
          <cell r="H724" t="str">
            <v>Production;Oil;Conventional</v>
          </cell>
          <cell r="I724" t="str">
            <v>Oil;Conventional;0;6</v>
          </cell>
          <cell r="J724" t="str">
            <v>AB</v>
          </cell>
          <cell r="K724" t="str">
            <v>Shallow</v>
          </cell>
          <cell r="L724">
            <v>1</v>
          </cell>
          <cell r="M724">
            <v>3</v>
          </cell>
        </row>
        <row r="725">
          <cell r="A725">
            <v>7</v>
          </cell>
          <cell r="B725">
            <v>2000</v>
          </cell>
          <cell r="C725">
            <v>1</v>
          </cell>
          <cell r="D725" t="str">
            <v>Production</v>
          </cell>
          <cell r="E725" t="str">
            <v>Oil</v>
          </cell>
          <cell r="F725" t="str">
            <v>Conventional</v>
          </cell>
          <cell r="G725">
            <v>0</v>
          </cell>
          <cell r="H725" t="str">
            <v>Production;Oil;Conventional</v>
          </cell>
          <cell r="I725" t="str">
            <v>Oil;Conventional;0;7</v>
          </cell>
          <cell r="J725" t="str">
            <v>AB</v>
          </cell>
          <cell r="K725" t="str">
            <v>Deep</v>
          </cell>
          <cell r="L725">
            <v>23</v>
          </cell>
          <cell r="M725">
            <v>379</v>
          </cell>
        </row>
        <row r="726">
          <cell r="A726">
            <v>7</v>
          </cell>
          <cell r="B726">
            <v>2000</v>
          </cell>
          <cell r="C726">
            <v>1</v>
          </cell>
          <cell r="D726" t="str">
            <v>Production</v>
          </cell>
          <cell r="E726" t="str">
            <v>Oil</v>
          </cell>
          <cell r="F726" t="str">
            <v>Conventional</v>
          </cell>
          <cell r="G726">
            <v>0</v>
          </cell>
          <cell r="H726" t="str">
            <v>Production;Oil;Conventional</v>
          </cell>
          <cell r="I726" t="str">
            <v>Oil;Conventional;0;7</v>
          </cell>
          <cell r="J726" t="str">
            <v>AB</v>
          </cell>
          <cell r="K726" t="str">
            <v>Medium</v>
          </cell>
          <cell r="L726">
            <v>173</v>
          </cell>
          <cell r="M726">
            <v>2272.9690479999999</v>
          </cell>
        </row>
        <row r="727">
          <cell r="A727">
            <v>7</v>
          </cell>
          <cell r="B727">
            <v>2000</v>
          </cell>
          <cell r="C727">
            <v>1</v>
          </cell>
          <cell r="D727" t="str">
            <v>Production</v>
          </cell>
          <cell r="E727" t="str">
            <v>Oil</v>
          </cell>
          <cell r="F727" t="str">
            <v>Conventional</v>
          </cell>
          <cell r="G727">
            <v>0</v>
          </cell>
          <cell r="H727" t="str">
            <v>Production;Oil;Conventional</v>
          </cell>
          <cell r="I727" t="str">
            <v>Oil;Conventional;0;7</v>
          </cell>
          <cell r="J727" t="str">
            <v>AB</v>
          </cell>
          <cell r="K727" t="str">
            <v>SHALLOW</v>
          </cell>
          <cell r="L727">
            <v>58</v>
          </cell>
          <cell r="M727">
            <v>398.99999000000003</v>
          </cell>
        </row>
        <row r="728">
          <cell r="A728">
            <v>7</v>
          </cell>
          <cell r="B728">
            <v>2000</v>
          </cell>
          <cell r="C728">
            <v>2</v>
          </cell>
          <cell r="D728" t="str">
            <v>Production</v>
          </cell>
          <cell r="E728" t="str">
            <v>Oil</v>
          </cell>
          <cell r="F728" t="str">
            <v>Conventional</v>
          </cell>
          <cell r="G728">
            <v>0</v>
          </cell>
          <cell r="H728" t="str">
            <v>Production;Oil;Conventional</v>
          </cell>
          <cell r="I728" t="str">
            <v>Oil;Conventional;0;7</v>
          </cell>
          <cell r="J728" t="str">
            <v>AB</v>
          </cell>
          <cell r="K728" t="str">
            <v>Deep</v>
          </cell>
          <cell r="L728">
            <v>3</v>
          </cell>
          <cell r="M728">
            <v>50</v>
          </cell>
        </row>
        <row r="729">
          <cell r="A729">
            <v>7</v>
          </cell>
          <cell r="B729">
            <v>2000</v>
          </cell>
          <cell r="C729">
            <v>2</v>
          </cell>
          <cell r="D729" t="str">
            <v>Production</v>
          </cell>
          <cell r="E729" t="str">
            <v>Oil</v>
          </cell>
          <cell r="F729" t="str">
            <v>Conventional</v>
          </cell>
          <cell r="G729">
            <v>0</v>
          </cell>
          <cell r="H729" t="str">
            <v>Production;Oil;Conventional</v>
          </cell>
          <cell r="I729" t="str">
            <v>Oil;Conventional;0;7</v>
          </cell>
          <cell r="J729" t="str">
            <v>AB</v>
          </cell>
          <cell r="K729" t="str">
            <v>MEDIUM</v>
          </cell>
          <cell r="L729">
            <v>16</v>
          </cell>
          <cell r="M729">
            <v>191</v>
          </cell>
        </row>
        <row r="730">
          <cell r="A730">
            <v>7</v>
          </cell>
          <cell r="B730">
            <v>2000</v>
          </cell>
          <cell r="C730">
            <v>2</v>
          </cell>
          <cell r="D730" t="str">
            <v>Production</v>
          </cell>
          <cell r="E730" t="str">
            <v>Oil</v>
          </cell>
          <cell r="F730" t="str">
            <v>Conventional</v>
          </cell>
          <cell r="G730">
            <v>0</v>
          </cell>
          <cell r="H730" t="str">
            <v>Production;Oil;Conventional</v>
          </cell>
          <cell r="I730" t="str">
            <v>Oil;Conventional;0;7</v>
          </cell>
          <cell r="J730" t="str">
            <v>AB</v>
          </cell>
          <cell r="K730" t="str">
            <v>Shallow</v>
          </cell>
          <cell r="L730">
            <v>2</v>
          </cell>
          <cell r="M730">
            <v>15</v>
          </cell>
        </row>
        <row r="731">
          <cell r="A731">
            <v>7</v>
          </cell>
          <cell r="B731">
            <v>2001</v>
          </cell>
          <cell r="C731">
            <v>1</v>
          </cell>
          <cell r="D731" t="str">
            <v>Production</v>
          </cell>
          <cell r="E731" t="str">
            <v>Oil</v>
          </cell>
          <cell r="F731" t="str">
            <v>Conventional</v>
          </cell>
          <cell r="G731">
            <v>0</v>
          </cell>
          <cell r="H731" t="str">
            <v>Production;Oil;Conventional</v>
          </cell>
          <cell r="I731" t="str">
            <v>Oil;Conventional;0;7</v>
          </cell>
          <cell r="J731" t="str">
            <v>AB</v>
          </cell>
          <cell r="K731" t="str">
            <v>Deep</v>
          </cell>
          <cell r="L731">
            <v>15</v>
          </cell>
          <cell r="M731">
            <v>234.16667000000001</v>
          </cell>
        </row>
        <row r="732">
          <cell r="A732">
            <v>7</v>
          </cell>
          <cell r="B732">
            <v>2001</v>
          </cell>
          <cell r="C732">
            <v>1</v>
          </cell>
          <cell r="D732" t="str">
            <v>Production</v>
          </cell>
          <cell r="E732" t="str">
            <v>Oil</v>
          </cell>
          <cell r="F732" t="str">
            <v>Conventional</v>
          </cell>
          <cell r="G732">
            <v>0</v>
          </cell>
          <cell r="H732" t="str">
            <v>Production;Oil;Conventional</v>
          </cell>
          <cell r="I732" t="str">
            <v>Oil;Conventional;0;7</v>
          </cell>
          <cell r="J732" t="str">
            <v>AB</v>
          </cell>
          <cell r="K732" t="str">
            <v>Medium</v>
          </cell>
          <cell r="L732">
            <v>226</v>
          </cell>
          <cell r="M732">
            <v>3124.5</v>
          </cell>
        </row>
        <row r="733">
          <cell r="A733">
            <v>7</v>
          </cell>
          <cell r="B733">
            <v>2001</v>
          </cell>
          <cell r="C733">
            <v>1</v>
          </cell>
          <cell r="D733" t="str">
            <v>Production</v>
          </cell>
          <cell r="E733" t="str">
            <v>Oil</v>
          </cell>
          <cell r="F733" t="str">
            <v>Conventional</v>
          </cell>
          <cell r="G733">
            <v>0</v>
          </cell>
          <cell r="H733" t="str">
            <v>Production;Oil;Conventional</v>
          </cell>
          <cell r="I733" t="str">
            <v>Oil;Conventional;0;7</v>
          </cell>
          <cell r="J733" t="str">
            <v>AB</v>
          </cell>
          <cell r="K733" t="str">
            <v>Shallow</v>
          </cell>
          <cell r="L733">
            <v>67</v>
          </cell>
          <cell r="M733">
            <v>474.33333299999998</v>
          </cell>
        </row>
        <row r="734">
          <cell r="A734">
            <v>7</v>
          </cell>
          <cell r="B734">
            <v>2001</v>
          </cell>
          <cell r="C734">
            <v>2</v>
          </cell>
          <cell r="D734" t="str">
            <v>Production</v>
          </cell>
          <cell r="E734" t="str">
            <v>Oil</v>
          </cell>
          <cell r="F734" t="str">
            <v>Conventional</v>
          </cell>
          <cell r="G734">
            <v>0</v>
          </cell>
          <cell r="H734" t="str">
            <v>Production;Oil;Conventional</v>
          </cell>
          <cell r="I734" t="str">
            <v>Oil;Conventional;0;7</v>
          </cell>
          <cell r="J734" t="str">
            <v>AB</v>
          </cell>
          <cell r="K734" t="str">
            <v>Deep</v>
          </cell>
          <cell r="L734">
            <v>3</v>
          </cell>
          <cell r="M734">
            <v>91</v>
          </cell>
        </row>
        <row r="735">
          <cell r="A735">
            <v>7</v>
          </cell>
          <cell r="B735">
            <v>2001</v>
          </cell>
          <cell r="C735">
            <v>2</v>
          </cell>
          <cell r="D735" t="str">
            <v>Production</v>
          </cell>
          <cell r="E735" t="str">
            <v>Oil</v>
          </cell>
          <cell r="F735" t="str">
            <v>Conventional</v>
          </cell>
          <cell r="G735">
            <v>0</v>
          </cell>
          <cell r="H735" t="str">
            <v>Production;Oil;Conventional</v>
          </cell>
          <cell r="I735" t="str">
            <v>Oil;Conventional;0;7</v>
          </cell>
          <cell r="J735" t="str">
            <v>AB</v>
          </cell>
          <cell r="K735" t="str">
            <v>Medium</v>
          </cell>
          <cell r="L735">
            <v>19</v>
          </cell>
          <cell r="M735">
            <v>303.5</v>
          </cell>
        </row>
        <row r="736">
          <cell r="A736">
            <v>7</v>
          </cell>
          <cell r="B736">
            <v>2001</v>
          </cell>
          <cell r="C736">
            <v>3</v>
          </cell>
          <cell r="D736" t="str">
            <v>Production</v>
          </cell>
          <cell r="E736" t="str">
            <v>Oil</v>
          </cell>
          <cell r="F736" t="str">
            <v>Conventional</v>
          </cell>
          <cell r="G736">
            <v>0</v>
          </cell>
          <cell r="H736" t="str">
            <v>Production;Oil;Conventional</v>
          </cell>
          <cell r="I736" t="str">
            <v>Oil;Conventional;0;7</v>
          </cell>
          <cell r="J736" t="str">
            <v>AB</v>
          </cell>
          <cell r="K736" t="str">
            <v>Medium</v>
          </cell>
          <cell r="L736">
            <v>2</v>
          </cell>
          <cell r="M736">
            <v>23</v>
          </cell>
        </row>
        <row r="737">
          <cell r="A737">
            <v>7</v>
          </cell>
          <cell r="B737">
            <v>2002</v>
          </cell>
          <cell r="C737">
            <v>1</v>
          </cell>
          <cell r="D737" t="str">
            <v>Production</v>
          </cell>
          <cell r="E737" t="str">
            <v>Oil</v>
          </cell>
          <cell r="F737" t="str">
            <v>Conventional</v>
          </cell>
          <cell r="G737">
            <v>0</v>
          </cell>
          <cell r="H737" t="str">
            <v>Production;Oil;Conventional</v>
          </cell>
          <cell r="I737" t="str">
            <v>Oil;Conventional;0;7</v>
          </cell>
          <cell r="J737" t="str">
            <v>AB</v>
          </cell>
          <cell r="K737" t="str">
            <v>Deep</v>
          </cell>
          <cell r="L737">
            <v>10</v>
          </cell>
          <cell r="M737">
            <v>152</v>
          </cell>
        </row>
        <row r="738">
          <cell r="A738">
            <v>7</v>
          </cell>
          <cell r="B738">
            <v>2002</v>
          </cell>
          <cell r="C738">
            <v>1</v>
          </cell>
          <cell r="D738" t="str">
            <v>Production</v>
          </cell>
          <cell r="E738" t="str">
            <v>Oil</v>
          </cell>
          <cell r="F738" t="str">
            <v>Conventional</v>
          </cell>
          <cell r="G738">
            <v>0</v>
          </cell>
          <cell r="H738" t="str">
            <v>Production;Oil;Conventional</v>
          </cell>
          <cell r="I738" t="str">
            <v>Oil;Conventional;0;7</v>
          </cell>
          <cell r="J738" t="str">
            <v>AB</v>
          </cell>
          <cell r="K738" t="str">
            <v>Medium</v>
          </cell>
          <cell r="L738">
            <v>156</v>
          </cell>
          <cell r="M738">
            <v>2286</v>
          </cell>
        </row>
        <row r="739">
          <cell r="A739">
            <v>7</v>
          </cell>
          <cell r="B739">
            <v>2002</v>
          </cell>
          <cell r="C739">
            <v>1</v>
          </cell>
          <cell r="D739" t="str">
            <v>Production</v>
          </cell>
          <cell r="E739" t="str">
            <v>Oil</v>
          </cell>
          <cell r="F739" t="str">
            <v>Conventional</v>
          </cell>
          <cell r="G739">
            <v>0</v>
          </cell>
          <cell r="H739" t="str">
            <v>Production;Oil;Conventional</v>
          </cell>
          <cell r="I739" t="str">
            <v>Oil;Conventional;0;7</v>
          </cell>
          <cell r="J739" t="str">
            <v>AB</v>
          </cell>
          <cell r="K739" t="str">
            <v>Shallow</v>
          </cell>
          <cell r="L739">
            <v>49</v>
          </cell>
          <cell r="M739">
            <v>301.5</v>
          </cell>
        </row>
        <row r="740">
          <cell r="A740">
            <v>7</v>
          </cell>
          <cell r="B740">
            <v>2002</v>
          </cell>
          <cell r="C740">
            <v>2</v>
          </cell>
          <cell r="D740" t="str">
            <v>Production</v>
          </cell>
          <cell r="E740" t="str">
            <v>Oil</v>
          </cell>
          <cell r="F740" t="str">
            <v>Conventional</v>
          </cell>
          <cell r="G740">
            <v>0</v>
          </cell>
          <cell r="H740" t="str">
            <v>Production;Oil;Conventional</v>
          </cell>
          <cell r="I740" t="str">
            <v>Oil;Conventional;0;7</v>
          </cell>
          <cell r="J740" t="str">
            <v>AB</v>
          </cell>
          <cell r="K740" t="str">
            <v>Medium</v>
          </cell>
          <cell r="L740">
            <v>5</v>
          </cell>
          <cell r="M740">
            <v>57.5</v>
          </cell>
        </row>
        <row r="741">
          <cell r="A741">
            <v>7</v>
          </cell>
          <cell r="B741">
            <v>2002</v>
          </cell>
          <cell r="C741">
            <v>3</v>
          </cell>
          <cell r="D741" t="str">
            <v>Production</v>
          </cell>
          <cell r="E741" t="str">
            <v>Oil</v>
          </cell>
          <cell r="F741" t="str">
            <v>Conventional</v>
          </cell>
          <cell r="G741">
            <v>0</v>
          </cell>
          <cell r="H741" t="str">
            <v>Production;Oil;Conventional</v>
          </cell>
          <cell r="I741" t="str">
            <v>Oil;Conventional;0;7</v>
          </cell>
          <cell r="J741" t="str">
            <v>AB</v>
          </cell>
          <cell r="K741" t="str">
            <v>Medium</v>
          </cell>
          <cell r="L741">
            <v>1</v>
          </cell>
          <cell r="M741">
            <v>7</v>
          </cell>
        </row>
        <row r="742">
          <cell r="A742">
            <v>7</v>
          </cell>
          <cell r="B742">
            <v>2003</v>
          </cell>
          <cell r="C742">
            <v>1</v>
          </cell>
          <cell r="D742" t="str">
            <v>Production</v>
          </cell>
          <cell r="E742" t="str">
            <v>Oil</v>
          </cell>
          <cell r="F742" t="str">
            <v>Conventional</v>
          </cell>
          <cell r="G742">
            <v>0</v>
          </cell>
          <cell r="H742" t="str">
            <v>Production;Oil;Conventional</v>
          </cell>
          <cell r="I742" t="str">
            <v>Oil;Conventional;0;7</v>
          </cell>
          <cell r="J742" t="str">
            <v>AB</v>
          </cell>
          <cell r="K742" t="str">
            <v>Deep</v>
          </cell>
          <cell r="L742">
            <v>17</v>
          </cell>
          <cell r="M742">
            <v>303</v>
          </cell>
        </row>
        <row r="743">
          <cell r="A743">
            <v>7</v>
          </cell>
          <cell r="B743">
            <v>2003</v>
          </cell>
          <cell r="C743">
            <v>1</v>
          </cell>
          <cell r="D743" t="str">
            <v>Production</v>
          </cell>
          <cell r="E743" t="str">
            <v>Oil</v>
          </cell>
          <cell r="F743" t="str">
            <v>Conventional</v>
          </cell>
          <cell r="G743">
            <v>0</v>
          </cell>
          <cell r="H743" t="str">
            <v>Production;Oil;Conventional</v>
          </cell>
          <cell r="I743" t="str">
            <v>Oil;Conventional;0;7</v>
          </cell>
          <cell r="J743" t="str">
            <v>AB</v>
          </cell>
          <cell r="K743" t="str">
            <v>Medium</v>
          </cell>
          <cell r="L743">
            <v>186</v>
          </cell>
          <cell r="M743">
            <v>2342.5833269999998</v>
          </cell>
        </row>
        <row r="744">
          <cell r="A744">
            <v>7</v>
          </cell>
          <cell r="B744">
            <v>2003</v>
          </cell>
          <cell r="C744">
            <v>1</v>
          </cell>
          <cell r="D744" t="str">
            <v>Production</v>
          </cell>
          <cell r="E744" t="str">
            <v>Oil</v>
          </cell>
          <cell r="F744" t="str">
            <v>Conventional</v>
          </cell>
          <cell r="G744">
            <v>0</v>
          </cell>
          <cell r="H744" t="str">
            <v>Production;Oil;Conventional</v>
          </cell>
          <cell r="I744" t="str">
            <v>Oil;Conventional;0;7</v>
          </cell>
          <cell r="J744" t="str">
            <v>AB</v>
          </cell>
          <cell r="K744" t="str">
            <v>Shallow</v>
          </cell>
          <cell r="L744">
            <v>58</v>
          </cell>
          <cell r="M744">
            <v>289.33333329999999</v>
          </cell>
        </row>
        <row r="745">
          <cell r="A745">
            <v>7</v>
          </cell>
          <cell r="B745">
            <v>2003</v>
          </cell>
          <cell r="C745">
            <v>2</v>
          </cell>
          <cell r="D745" t="str">
            <v>Production</v>
          </cell>
          <cell r="E745" t="str">
            <v>Oil</v>
          </cell>
          <cell r="F745" t="str">
            <v>Conventional</v>
          </cell>
          <cell r="G745">
            <v>0</v>
          </cell>
          <cell r="H745" t="str">
            <v>Production;Oil;Conventional</v>
          </cell>
          <cell r="I745" t="str">
            <v>Oil;Conventional;0;7</v>
          </cell>
          <cell r="J745" t="str">
            <v>AB</v>
          </cell>
          <cell r="K745" t="str">
            <v>Deep</v>
          </cell>
          <cell r="L745">
            <v>4</v>
          </cell>
          <cell r="M745">
            <v>49</v>
          </cell>
        </row>
        <row r="746">
          <cell r="A746">
            <v>7</v>
          </cell>
          <cell r="B746">
            <v>2003</v>
          </cell>
          <cell r="C746">
            <v>2</v>
          </cell>
          <cell r="D746" t="str">
            <v>Production</v>
          </cell>
          <cell r="E746" t="str">
            <v>Oil</v>
          </cell>
          <cell r="F746" t="str">
            <v>Conventional</v>
          </cell>
          <cell r="G746">
            <v>0</v>
          </cell>
          <cell r="H746" t="str">
            <v>Production;Oil;Conventional</v>
          </cell>
          <cell r="I746" t="str">
            <v>Oil;Conventional;0;7</v>
          </cell>
          <cell r="J746" t="str">
            <v>AB</v>
          </cell>
          <cell r="K746" t="str">
            <v>Medium</v>
          </cell>
          <cell r="L746">
            <v>10</v>
          </cell>
          <cell r="M746">
            <v>118</v>
          </cell>
        </row>
        <row r="747">
          <cell r="A747">
            <v>7</v>
          </cell>
          <cell r="B747">
            <v>2003</v>
          </cell>
          <cell r="C747">
            <v>2</v>
          </cell>
          <cell r="D747" t="str">
            <v>Production</v>
          </cell>
          <cell r="E747" t="str">
            <v>Oil</v>
          </cell>
          <cell r="F747" t="str">
            <v>Conventional</v>
          </cell>
          <cell r="G747">
            <v>0</v>
          </cell>
          <cell r="H747" t="str">
            <v>Production;Oil;Conventional</v>
          </cell>
          <cell r="I747" t="str">
            <v>Oil;Conventional;0;7</v>
          </cell>
          <cell r="J747" t="str">
            <v>AB</v>
          </cell>
          <cell r="K747" t="str">
            <v>Shallow</v>
          </cell>
          <cell r="L747">
            <v>1</v>
          </cell>
          <cell r="M747">
            <v>1</v>
          </cell>
        </row>
        <row r="748">
          <cell r="A748">
            <v>7</v>
          </cell>
          <cell r="B748">
            <v>2003</v>
          </cell>
          <cell r="C748">
            <v>3</v>
          </cell>
          <cell r="D748" t="str">
            <v>Production</v>
          </cell>
          <cell r="E748" t="str">
            <v>Oil</v>
          </cell>
          <cell r="F748" t="str">
            <v>Conventional</v>
          </cell>
          <cell r="G748">
            <v>0</v>
          </cell>
          <cell r="H748" t="str">
            <v>Production;Oil;Conventional</v>
          </cell>
          <cell r="I748" t="str">
            <v>Oil;Conventional;0;7</v>
          </cell>
          <cell r="J748" t="str">
            <v>AB</v>
          </cell>
          <cell r="K748" t="str">
            <v>Medium</v>
          </cell>
          <cell r="L748">
            <v>3</v>
          </cell>
          <cell r="M748">
            <v>38</v>
          </cell>
        </row>
        <row r="749">
          <cell r="A749">
            <v>7</v>
          </cell>
          <cell r="B749">
            <v>2004</v>
          </cell>
          <cell r="C749">
            <v>1</v>
          </cell>
          <cell r="D749" t="str">
            <v>Production</v>
          </cell>
          <cell r="E749" t="str">
            <v>Oil</v>
          </cell>
          <cell r="F749" t="str">
            <v>Conventional</v>
          </cell>
          <cell r="G749">
            <v>0</v>
          </cell>
          <cell r="H749" t="str">
            <v>Production;Oil;Conventional</v>
          </cell>
          <cell r="I749" t="str">
            <v>Oil;Conventional;0;7</v>
          </cell>
          <cell r="J749" t="str">
            <v>AB</v>
          </cell>
          <cell r="K749" t="str">
            <v>Deep</v>
          </cell>
          <cell r="L749">
            <v>15</v>
          </cell>
          <cell r="M749">
            <v>199.916663</v>
          </cell>
        </row>
        <row r="750">
          <cell r="A750">
            <v>7</v>
          </cell>
          <cell r="B750">
            <v>2004</v>
          </cell>
          <cell r="C750">
            <v>1</v>
          </cell>
          <cell r="D750" t="str">
            <v>Production</v>
          </cell>
          <cell r="E750" t="str">
            <v>Oil</v>
          </cell>
          <cell r="F750" t="str">
            <v>Conventional</v>
          </cell>
          <cell r="G750">
            <v>0</v>
          </cell>
          <cell r="H750" t="str">
            <v>Production;Oil;Conventional</v>
          </cell>
          <cell r="I750" t="str">
            <v>Oil;Conventional;0;7</v>
          </cell>
          <cell r="J750" t="str">
            <v>AB</v>
          </cell>
          <cell r="K750" t="str">
            <v>Medium</v>
          </cell>
          <cell r="L750">
            <v>183</v>
          </cell>
          <cell r="M750">
            <v>2253</v>
          </cell>
        </row>
        <row r="751">
          <cell r="A751">
            <v>7</v>
          </cell>
          <cell r="B751">
            <v>2004</v>
          </cell>
          <cell r="C751">
            <v>1</v>
          </cell>
          <cell r="D751" t="str">
            <v>Production</v>
          </cell>
          <cell r="E751" t="str">
            <v>Oil</v>
          </cell>
          <cell r="F751" t="str">
            <v>Conventional</v>
          </cell>
          <cell r="G751">
            <v>0</v>
          </cell>
          <cell r="H751" t="str">
            <v>Production;Oil;Conventional</v>
          </cell>
          <cell r="I751" t="str">
            <v>Oil;Conventional;0;7</v>
          </cell>
          <cell r="J751" t="str">
            <v>AB</v>
          </cell>
          <cell r="K751" t="str">
            <v>Shallow</v>
          </cell>
          <cell r="L751">
            <v>72</v>
          </cell>
          <cell r="M751">
            <v>455</v>
          </cell>
        </row>
        <row r="752">
          <cell r="A752">
            <v>7</v>
          </cell>
          <cell r="B752">
            <v>2004</v>
          </cell>
          <cell r="C752">
            <v>2</v>
          </cell>
          <cell r="D752" t="str">
            <v>Production</v>
          </cell>
          <cell r="E752" t="str">
            <v>Oil</v>
          </cell>
          <cell r="F752" t="str">
            <v>Conventional</v>
          </cell>
          <cell r="G752">
            <v>0</v>
          </cell>
          <cell r="H752" t="str">
            <v>Production;Oil;Conventional</v>
          </cell>
          <cell r="I752" t="str">
            <v>Oil;Conventional;0;7</v>
          </cell>
          <cell r="J752" t="str">
            <v>AB</v>
          </cell>
          <cell r="K752" t="str">
            <v>Deep</v>
          </cell>
          <cell r="L752">
            <v>2</v>
          </cell>
          <cell r="M752">
            <v>32</v>
          </cell>
        </row>
        <row r="753">
          <cell r="A753">
            <v>7</v>
          </cell>
          <cell r="B753">
            <v>2004</v>
          </cell>
          <cell r="C753">
            <v>2</v>
          </cell>
          <cell r="D753" t="str">
            <v>Production</v>
          </cell>
          <cell r="E753" t="str">
            <v>Oil</v>
          </cell>
          <cell r="F753" t="str">
            <v>Conventional</v>
          </cell>
          <cell r="G753">
            <v>0</v>
          </cell>
          <cell r="H753" t="str">
            <v>Production;Oil;Conventional</v>
          </cell>
          <cell r="I753" t="str">
            <v>Oil;Conventional;0;7</v>
          </cell>
          <cell r="J753" t="str">
            <v>AB</v>
          </cell>
          <cell r="K753" t="str">
            <v>Medium</v>
          </cell>
          <cell r="L753">
            <v>15</v>
          </cell>
          <cell r="M753">
            <v>180</v>
          </cell>
        </row>
        <row r="754">
          <cell r="A754">
            <v>7</v>
          </cell>
          <cell r="B754">
            <v>2004</v>
          </cell>
          <cell r="C754">
            <v>3</v>
          </cell>
          <cell r="D754" t="str">
            <v>Production</v>
          </cell>
          <cell r="E754" t="str">
            <v>Oil</v>
          </cell>
          <cell r="F754" t="str">
            <v>Conventional</v>
          </cell>
          <cell r="G754">
            <v>0</v>
          </cell>
          <cell r="H754" t="str">
            <v>Production;Oil;Conventional</v>
          </cell>
          <cell r="I754" t="str">
            <v>Oil;Conventional;0;7</v>
          </cell>
          <cell r="J754" t="str">
            <v>AB</v>
          </cell>
          <cell r="K754" t="str">
            <v>Medium</v>
          </cell>
          <cell r="L754">
            <v>1</v>
          </cell>
          <cell r="M754">
            <v>1</v>
          </cell>
        </row>
        <row r="755">
          <cell r="A755">
            <v>7</v>
          </cell>
          <cell r="B755">
            <v>2005</v>
          </cell>
          <cell r="C755">
            <v>1</v>
          </cell>
          <cell r="D755" t="str">
            <v>Production</v>
          </cell>
          <cell r="E755" t="str">
            <v>Oil</v>
          </cell>
          <cell r="F755" t="str">
            <v>Conventional</v>
          </cell>
          <cell r="G755">
            <v>0</v>
          </cell>
          <cell r="H755" t="str">
            <v>Production;Oil;Conventional</v>
          </cell>
          <cell r="I755" t="str">
            <v>Oil;Conventional;0;7</v>
          </cell>
          <cell r="J755" t="str">
            <v>AB</v>
          </cell>
          <cell r="K755" t="str">
            <v>Deep</v>
          </cell>
          <cell r="L755">
            <v>4</v>
          </cell>
          <cell r="M755">
            <v>53.95</v>
          </cell>
        </row>
        <row r="756">
          <cell r="A756">
            <v>7</v>
          </cell>
          <cell r="B756">
            <v>2005</v>
          </cell>
          <cell r="C756">
            <v>1</v>
          </cell>
          <cell r="D756" t="str">
            <v>Production</v>
          </cell>
          <cell r="E756" t="str">
            <v>Oil</v>
          </cell>
          <cell r="F756" t="str">
            <v>Conventional</v>
          </cell>
          <cell r="G756">
            <v>0</v>
          </cell>
          <cell r="H756" t="str">
            <v>Production;Oil;Conventional</v>
          </cell>
          <cell r="I756" t="str">
            <v>Oil;Conventional;0;7</v>
          </cell>
          <cell r="J756" t="str">
            <v>AB</v>
          </cell>
          <cell r="K756" t="str">
            <v>Medium</v>
          </cell>
          <cell r="L756">
            <v>281</v>
          </cell>
          <cell r="M756">
            <v>3123.3333430000002</v>
          </cell>
        </row>
        <row r="757">
          <cell r="A757">
            <v>7</v>
          </cell>
          <cell r="B757">
            <v>2005</v>
          </cell>
          <cell r="C757">
            <v>1</v>
          </cell>
          <cell r="D757" t="str">
            <v>Production</v>
          </cell>
          <cell r="E757" t="str">
            <v>Oil</v>
          </cell>
          <cell r="F757" t="str">
            <v>Conventional</v>
          </cell>
          <cell r="G757">
            <v>0</v>
          </cell>
          <cell r="H757" t="str">
            <v>Production;Oil;Conventional</v>
          </cell>
          <cell r="I757" t="str">
            <v>Oil;Conventional;0;7</v>
          </cell>
          <cell r="J757" t="str">
            <v>AB</v>
          </cell>
          <cell r="K757" t="str">
            <v>Shallow</v>
          </cell>
          <cell r="L757">
            <v>66</v>
          </cell>
          <cell r="M757">
            <v>437.83333299999998</v>
          </cell>
        </row>
        <row r="758">
          <cell r="A758">
            <v>7</v>
          </cell>
          <cell r="B758">
            <v>2005</v>
          </cell>
          <cell r="C758">
            <v>2</v>
          </cell>
          <cell r="D758" t="str">
            <v>Production</v>
          </cell>
          <cell r="E758" t="str">
            <v>Oil</v>
          </cell>
          <cell r="F758" t="str">
            <v>Conventional</v>
          </cell>
          <cell r="G758">
            <v>0</v>
          </cell>
          <cell r="H758" t="str">
            <v>Production;Oil;Conventional</v>
          </cell>
          <cell r="I758" t="str">
            <v>Oil;Conventional;0;7</v>
          </cell>
          <cell r="J758" t="str">
            <v>AB</v>
          </cell>
          <cell r="K758" t="str">
            <v>Deep</v>
          </cell>
          <cell r="L758">
            <v>1</v>
          </cell>
          <cell r="M758">
            <v>2.5</v>
          </cell>
        </row>
        <row r="759">
          <cell r="A759">
            <v>7</v>
          </cell>
          <cell r="B759">
            <v>2005</v>
          </cell>
          <cell r="C759">
            <v>2</v>
          </cell>
          <cell r="D759" t="str">
            <v>Production</v>
          </cell>
          <cell r="E759" t="str">
            <v>Oil</v>
          </cell>
          <cell r="F759" t="str">
            <v>Conventional</v>
          </cell>
          <cell r="G759">
            <v>0</v>
          </cell>
          <cell r="H759" t="str">
            <v>Production;Oil;Conventional</v>
          </cell>
          <cell r="I759" t="str">
            <v>Oil;Conventional;0;7</v>
          </cell>
          <cell r="J759" t="str">
            <v>AB</v>
          </cell>
          <cell r="K759" t="str">
            <v>Medium</v>
          </cell>
          <cell r="L759">
            <v>8</v>
          </cell>
          <cell r="M759">
            <v>124</v>
          </cell>
        </row>
        <row r="760">
          <cell r="A760">
            <v>7</v>
          </cell>
          <cell r="B760">
            <v>2006</v>
          </cell>
          <cell r="C760">
            <v>1</v>
          </cell>
          <cell r="D760" t="str">
            <v>Production</v>
          </cell>
          <cell r="E760" t="str">
            <v>Oil</v>
          </cell>
          <cell r="F760" t="str">
            <v>Conventional</v>
          </cell>
          <cell r="G760">
            <v>0</v>
          </cell>
          <cell r="H760" t="str">
            <v>Production;Oil;Conventional</v>
          </cell>
          <cell r="I760" t="str">
            <v>Oil;Conventional;0;7</v>
          </cell>
          <cell r="J760" t="str">
            <v>AB</v>
          </cell>
          <cell r="K760" t="str">
            <v>Deep</v>
          </cell>
          <cell r="L760">
            <v>21</v>
          </cell>
          <cell r="M760">
            <v>311.5</v>
          </cell>
        </row>
        <row r="761">
          <cell r="A761">
            <v>7</v>
          </cell>
          <cell r="B761">
            <v>2006</v>
          </cell>
          <cell r="C761">
            <v>1</v>
          </cell>
          <cell r="D761" t="str">
            <v>Production</v>
          </cell>
          <cell r="E761" t="str">
            <v>Oil</v>
          </cell>
          <cell r="F761" t="str">
            <v>Conventional</v>
          </cell>
          <cell r="G761">
            <v>0</v>
          </cell>
          <cell r="H761" t="str">
            <v>Production;Oil;Conventional</v>
          </cell>
          <cell r="I761" t="str">
            <v>Oil;Conventional;0;7</v>
          </cell>
          <cell r="J761" t="str">
            <v>AB</v>
          </cell>
          <cell r="K761" t="str">
            <v>Medium</v>
          </cell>
          <cell r="L761">
            <v>237</v>
          </cell>
          <cell r="M761">
            <v>2683.9999969999999</v>
          </cell>
        </row>
        <row r="762">
          <cell r="A762">
            <v>7</v>
          </cell>
          <cell r="B762">
            <v>2006</v>
          </cell>
          <cell r="C762">
            <v>1</v>
          </cell>
          <cell r="D762" t="str">
            <v>Production</v>
          </cell>
          <cell r="E762" t="str">
            <v>Oil</v>
          </cell>
          <cell r="F762" t="str">
            <v>Conventional</v>
          </cell>
          <cell r="G762">
            <v>0</v>
          </cell>
          <cell r="H762" t="str">
            <v>Production;Oil;Conventional</v>
          </cell>
          <cell r="I762" t="str">
            <v>Oil;Conventional;0;7</v>
          </cell>
          <cell r="J762" t="str">
            <v>AB</v>
          </cell>
          <cell r="K762" t="str">
            <v>Shallow</v>
          </cell>
          <cell r="L762">
            <v>56</v>
          </cell>
          <cell r="M762">
            <v>308.80119199999996</v>
          </cell>
        </row>
        <row r="763">
          <cell r="A763">
            <v>7</v>
          </cell>
          <cell r="B763">
            <v>2006</v>
          </cell>
          <cell r="C763">
            <v>2</v>
          </cell>
          <cell r="D763" t="str">
            <v>Production</v>
          </cell>
          <cell r="E763" t="str">
            <v>Oil</v>
          </cell>
          <cell r="F763" t="str">
            <v>Conventional</v>
          </cell>
          <cell r="G763">
            <v>0</v>
          </cell>
          <cell r="H763" t="str">
            <v>Production;Oil;Conventional</v>
          </cell>
          <cell r="I763" t="str">
            <v>Oil;Conventional;0;7</v>
          </cell>
          <cell r="J763" t="str">
            <v>AB</v>
          </cell>
          <cell r="K763" t="str">
            <v>Deep</v>
          </cell>
          <cell r="L763">
            <v>1</v>
          </cell>
          <cell r="M763">
            <v>20</v>
          </cell>
        </row>
        <row r="764">
          <cell r="A764">
            <v>7</v>
          </cell>
          <cell r="B764">
            <v>2006</v>
          </cell>
          <cell r="C764">
            <v>2</v>
          </cell>
          <cell r="D764" t="str">
            <v>Production</v>
          </cell>
          <cell r="E764" t="str">
            <v>Oil</v>
          </cell>
          <cell r="F764" t="str">
            <v>Conventional</v>
          </cell>
          <cell r="G764">
            <v>0</v>
          </cell>
          <cell r="H764" t="str">
            <v>Production;Oil;Conventional</v>
          </cell>
          <cell r="I764" t="str">
            <v>Oil;Conventional;0;7</v>
          </cell>
          <cell r="J764" t="str">
            <v>AB</v>
          </cell>
          <cell r="K764" t="str">
            <v>Medium</v>
          </cell>
          <cell r="L764">
            <v>3</v>
          </cell>
          <cell r="M764">
            <v>28</v>
          </cell>
        </row>
        <row r="765">
          <cell r="A765">
            <v>7</v>
          </cell>
          <cell r="B765">
            <v>2006</v>
          </cell>
          <cell r="C765">
            <v>2</v>
          </cell>
          <cell r="D765" t="str">
            <v>Production</v>
          </cell>
          <cell r="E765" t="str">
            <v>Oil</v>
          </cell>
          <cell r="F765" t="str">
            <v>Conventional</v>
          </cell>
          <cell r="G765">
            <v>0</v>
          </cell>
          <cell r="H765" t="str">
            <v>Production;Oil;Conventional</v>
          </cell>
          <cell r="I765" t="str">
            <v>Oil;Conventional;0;7</v>
          </cell>
          <cell r="J765" t="str">
            <v>AB</v>
          </cell>
          <cell r="K765" t="str">
            <v>Shallow</v>
          </cell>
          <cell r="L765">
            <v>3</v>
          </cell>
          <cell r="M765">
            <v>24</v>
          </cell>
        </row>
        <row r="766">
          <cell r="A766">
            <v>7</v>
          </cell>
          <cell r="B766">
            <v>2007</v>
          </cell>
          <cell r="C766">
            <v>1</v>
          </cell>
          <cell r="D766" t="str">
            <v>Production</v>
          </cell>
          <cell r="E766" t="str">
            <v>Oil</v>
          </cell>
          <cell r="F766" t="str">
            <v>Conventional</v>
          </cell>
          <cell r="G766">
            <v>0</v>
          </cell>
          <cell r="H766" t="str">
            <v>Production;Oil;Conventional</v>
          </cell>
          <cell r="I766" t="str">
            <v>Oil;Conventional;0;7</v>
          </cell>
          <cell r="J766" t="str">
            <v>AB</v>
          </cell>
          <cell r="K766" t="str">
            <v>Deep</v>
          </cell>
          <cell r="L766">
            <v>8</v>
          </cell>
          <cell r="M766">
            <v>77</v>
          </cell>
        </row>
        <row r="767">
          <cell r="A767">
            <v>7</v>
          </cell>
          <cell r="B767">
            <v>2007</v>
          </cell>
          <cell r="C767">
            <v>1</v>
          </cell>
          <cell r="D767" t="str">
            <v>Production</v>
          </cell>
          <cell r="E767" t="str">
            <v>Oil</v>
          </cell>
          <cell r="F767" t="str">
            <v>Conventional</v>
          </cell>
          <cell r="G767">
            <v>0</v>
          </cell>
          <cell r="H767" t="str">
            <v>Production;Oil;Conventional</v>
          </cell>
          <cell r="I767" t="str">
            <v>Oil;Conventional;0;7</v>
          </cell>
          <cell r="J767" t="str">
            <v>AB</v>
          </cell>
          <cell r="K767" t="str">
            <v>Medium</v>
          </cell>
          <cell r="L767">
            <v>48</v>
          </cell>
          <cell r="M767">
            <v>561.5</v>
          </cell>
        </row>
        <row r="768">
          <cell r="A768">
            <v>7</v>
          </cell>
          <cell r="B768">
            <v>2007</v>
          </cell>
          <cell r="C768">
            <v>1</v>
          </cell>
          <cell r="D768" t="str">
            <v>Production</v>
          </cell>
          <cell r="E768" t="str">
            <v>Oil</v>
          </cell>
          <cell r="F768" t="str">
            <v>Conventional</v>
          </cell>
          <cell r="G768">
            <v>0</v>
          </cell>
          <cell r="H768" t="str">
            <v>Production;Oil;Conventional</v>
          </cell>
          <cell r="I768" t="str">
            <v>Oil;Conventional;0;7</v>
          </cell>
          <cell r="J768" t="str">
            <v>AB</v>
          </cell>
          <cell r="K768" t="str">
            <v>Shallow</v>
          </cell>
          <cell r="L768">
            <v>2</v>
          </cell>
          <cell r="M768">
            <v>21</v>
          </cell>
        </row>
        <row r="769">
          <cell r="A769">
            <v>7</v>
          </cell>
          <cell r="B769">
            <v>2007</v>
          </cell>
          <cell r="C769">
            <v>2</v>
          </cell>
          <cell r="D769" t="str">
            <v>Production</v>
          </cell>
          <cell r="E769" t="str">
            <v>Oil</v>
          </cell>
          <cell r="F769" t="str">
            <v>Conventional</v>
          </cell>
          <cell r="G769">
            <v>0</v>
          </cell>
          <cell r="H769" t="str">
            <v>Production;Oil;Conventional</v>
          </cell>
          <cell r="I769" t="str">
            <v>Oil;Conventional;0;7</v>
          </cell>
          <cell r="J769" t="str">
            <v>AB</v>
          </cell>
          <cell r="K769" t="str">
            <v>Deep</v>
          </cell>
          <cell r="L769">
            <v>1</v>
          </cell>
          <cell r="M769">
            <v>9</v>
          </cell>
        </row>
        <row r="770">
          <cell r="A770">
            <v>8</v>
          </cell>
          <cell r="B770">
            <v>2000</v>
          </cell>
          <cell r="C770">
            <v>1</v>
          </cell>
          <cell r="D770" t="str">
            <v>Production</v>
          </cell>
          <cell r="E770" t="str">
            <v>Oil</v>
          </cell>
          <cell r="F770" t="str">
            <v>Conventional</v>
          </cell>
          <cell r="G770">
            <v>0</v>
          </cell>
          <cell r="H770" t="str">
            <v>Production;Oil;Conventional</v>
          </cell>
          <cell r="I770" t="str">
            <v>Oil;Conventional;0;8</v>
          </cell>
          <cell r="J770" t="str">
            <v>BC</v>
          </cell>
          <cell r="K770" t="str">
            <v>Deep</v>
          </cell>
          <cell r="L770">
            <v>2</v>
          </cell>
          <cell r="M770">
            <v>20</v>
          </cell>
        </row>
        <row r="771">
          <cell r="A771">
            <v>8</v>
          </cell>
          <cell r="B771">
            <v>2000</v>
          </cell>
          <cell r="C771">
            <v>1</v>
          </cell>
          <cell r="D771" t="str">
            <v>Production</v>
          </cell>
          <cell r="E771" t="str">
            <v>Oil</v>
          </cell>
          <cell r="F771" t="str">
            <v>Conventional</v>
          </cell>
          <cell r="G771">
            <v>0</v>
          </cell>
          <cell r="H771" t="str">
            <v>Production;Oil;Conventional</v>
          </cell>
          <cell r="I771" t="str">
            <v>Oil;Conventional;0;8</v>
          </cell>
          <cell r="J771" t="str">
            <v>BC</v>
          </cell>
          <cell r="K771" t="str">
            <v>Medium</v>
          </cell>
          <cell r="L771">
            <v>31</v>
          </cell>
          <cell r="M771">
            <v>641.5</v>
          </cell>
        </row>
        <row r="772">
          <cell r="A772">
            <v>8</v>
          </cell>
          <cell r="B772">
            <v>2000</v>
          </cell>
          <cell r="C772">
            <v>1</v>
          </cell>
          <cell r="D772" t="str">
            <v>Production</v>
          </cell>
          <cell r="E772" t="str">
            <v>Oil</v>
          </cell>
          <cell r="F772" t="str">
            <v>Conventional</v>
          </cell>
          <cell r="G772">
            <v>0</v>
          </cell>
          <cell r="H772" t="str">
            <v>Production;Oil;Conventional</v>
          </cell>
          <cell r="I772" t="str">
            <v>Oil;Conventional;0;8</v>
          </cell>
          <cell r="J772" t="str">
            <v>BC</v>
          </cell>
          <cell r="K772" t="str">
            <v>Shallow</v>
          </cell>
          <cell r="L772">
            <v>16</v>
          </cell>
          <cell r="M772">
            <v>153</v>
          </cell>
        </row>
        <row r="773">
          <cell r="A773">
            <v>8</v>
          </cell>
          <cell r="B773">
            <v>2000</v>
          </cell>
          <cell r="C773">
            <v>2</v>
          </cell>
          <cell r="D773" t="str">
            <v>Production</v>
          </cell>
          <cell r="E773" t="str">
            <v>Oil</v>
          </cell>
          <cell r="F773" t="str">
            <v>Conventional</v>
          </cell>
          <cell r="G773">
            <v>0</v>
          </cell>
          <cell r="H773" t="str">
            <v>Production;Oil;Conventional</v>
          </cell>
          <cell r="I773" t="str">
            <v>Oil;Conventional;0;8</v>
          </cell>
          <cell r="J773" t="str">
            <v>BC</v>
          </cell>
          <cell r="K773" t="str">
            <v>Medium</v>
          </cell>
          <cell r="L773">
            <v>4</v>
          </cell>
          <cell r="M773">
            <v>72</v>
          </cell>
        </row>
        <row r="774">
          <cell r="A774">
            <v>8</v>
          </cell>
          <cell r="B774">
            <v>2000</v>
          </cell>
          <cell r="C774">
            <v>3</v>
          </cell>
          <cell r="D774" t="str">
            <v>Production</v>
          </cell>
          <cell r="E774" t="str">
            <v>Oil</v>
          </cell>
          <cell r="F774" t="str">
            <v>Conventional</v>
          </cell>
          <cell r="G774">
            <v>0</v>
          </cell>
          <cell r="H774" t="str">
            <v>Production;Oil;Conventional</v>
          </cell>
          <cell r="I774" t="str">
            <v>Oil;Conventional;0;8</v>
          </cell>
          <cell r="J774" t="str">
            <v>BC</v>
          </cell>
          <cell r="K774" t="str">
            <v>MEDIUM</v>
          </cell>
          <cell r="L774">
            <v>1</v>
          </cell>
          <cell r="M774">
            <v>20</v>
          </cell>
        </row>
        <row r="775">
          <cell r="A775">
            <v>8</v>
          </cell>
          <cell r="B775">
            <v>2001</v>
          </cell>
          <cell r="C775">
            <v>1</v>
          </cell>
          <cell r="D775" t="str">
            <v>Production</v>
          </cell>
          <cell r="E775" t="str">
            <v>Oil</v>
          </cell>
          <cell r="F775" t="str">
            <v>Conventional</v>
          </cell>
          <cell r="G775">
            <v>0</v>
          </cell>
          <cell r="H775" t="str">
            <v>Production;Oil;Conventional</v>
          </cell>
          <cell r="I775" t="str">
            <v>Oil;Conventional;0;8</v>
          </cell>
          <cell r="J775" t="str">
            <v>BC</v>
          </cell>
          <cell r="K775" t="str">
            <v>DEEP</v>
          </cell>
          <cell r="L775">
            <v>1</v>
          </cell>
          <cell r="M775">
            <v>11.5</v>
          </cell>
        </row>
        <row r="776">
          <cell r="A776">
            <v>8</v>
          </cell>
          <cell r="B776">
            <v>2001</v>
          </cell>
          <cell r="C776">
            <v>1</v>
          </cell>
          <cell r="D776" t="str">
            <v>Production</v>
          </cell>
          <cell r="E776" t="str">
            <v>Oil</v>
          </cell>
          <cell r="F776" t="str">
            <v>Conventional</v>
          </cell>
          <cell r="G776">
            <v>0</v>
          </cell>
          <cell r="H776" t="str">
            <v>Production;Oil;Conventional</v>
          </cell>
          <cell r="I776" t="str">
            <v>Oil;Conventional;0;8</v>
          </cell>
          <cell r="J776" t="str">
            <v>BC</v>
          </cell>
          <cell r="K776" t="str">
            <v>Medium</v>
          </cell>
          <cell r="L776">
            <v>28</v>
          </cell>
          <cell r="M776">
            <v>325.25</v>
          </cell>
        </row>
        <row r="777">
          <cell r="A777">
            <v>8</v>
          </cell>
          <cell r="B777">
            <v>2001</v>
          </cell>
          <cell r="C777">
            <v>1</v>
          </cell>
          <cell r="D777" t="str">
            <v>Production</v>
          </cell>
          <cell r="E777" t="str">
            <v>Oil</v>
          </cell>
          <cell r="F777" t="str">
            <v>Conventional</v>
          </cell>
          <cell r="G777">
            <v>0</v>
          </cell>
          <cell r="H777" t="str">
            <v>Production;Oil;Conventional</v>
          </cell>
          <cell r="I777" t="str">
            <v>Oil;Conventional;0;8</v>
          </cell>
          <cell r="J777" t="str">
            <v>BC</v>
          </cell>
          <cell r="K777" t="str">
            <v>Shallow</v>
          </cell>
          <cell r="L777">
            <v>18</v>
          </cell>
          <cell r="M777">
            <v>141.5</v>
          </cell>
        </row>
        <row r="778">
          <cell r="A778">
            <v>8</v>
          </cell>
          <cell r="B778">
            <v>2001</v>
          </cell>
          <cell r="C778">
            <v>2</v>
          </cell>
          <cell r="D778" t="str">
            <v>Production</v>
          </cell>
          <cell r="E778" t="str">
            <v>Oil</v>
          </cell>
          <cell r="F778" t="str">
            <v>Conventional</v>
          </cell>
          <cell r="G778">
            <v>0</v>
          </cell>
          <cell r="H778" t="str">
            <v>Production;Oil;Conventional</v>
          </cell>
          <cell r="I778" t="str">
            <v>Oil;Conventional;0;8</v>
          </cell>
          <cell r="J778" t="str">
            <v>BC</v>
          </cell>
          <cell r="K778" t="str">
            <v>MEDIUM</v>
          </cell>
          <cell r="L778">
            <v>3</v>
          </cell>
          <cell r="M778">
            <v>56</v>
          </cell>
        </row>
        <row r="779">
          <cell r="A779">
            <v>8</v>
          </cell>
          <cell r="B779">
            <v>2002</v>
          </cell>
          <cell r="C779">
            <v>1</v>
          </cell>
          <cell r="D779" t="str">
            <v>Production</v>
          </cell>
          <cell r="E779" t="str">
            <v>Oil</v>
          </cell>
          <cell r="F779" t="str">
            <v>Conventional</v>
          </cell>
          <cell r="G779">
            <v>0</v>
          </cell>
          <cell r="H779" t="str">
            <v>Production;Oil;Conventional</v>
          </cell>
          <cell r="I779" t="str">
            <v>Oil;Conventional;0;8</v>
          </cell>
          <cell r="J779" t="str">
            <v>BC</v>
          </cell>
          <cell r="K779" t="str">
            <v>Deep</v>
          </cell>
          <cell r="L779">
            <v>2</v>
          </cell>
          <cell r="M779">
            <v>23</v>
          </cell>
        </row>
        <row r="780">
          <cell r="A780">
            <v>8</v>
          </cell>
          <cell r="B780">
            <v>2002</v>
          </cell>
          <cell r="C780">
            <v>1</v>
          </cell>
          <cell r="D780" t="str">
            <v>Production</v>
          </cell>
          <cell r="E780" t="str">
            <v>Oil</v>
          </cell>
          <cell r="F780" t="str">
            <v>Conventional</v>
          </cell>
          <cell r="G780">
            <v>0</v>
          </cell>
          <cell r="H780" t="str">
            <v>Production;Oil;Conventional</v>
          </cell>
          <cell r="I780" t="str">
            <v>Oil;Conventional;0;8</v>
          </cell>
          <cell r="J780" t="str">
            <v>BC</v>
          </cell>
          <cell r="K780" t="str">
            <v>MEDIUM</v>
          </cell>
          <cell r="L780">
            <v>13</v>
          </cell>
          <cell r="M780">
            <v>205.16667000000001</v>
          </cell>
        </row>
        <row r="781">
          <cell r="A781">
            <v>8</v>
          </cell>
          <cell r="B781">
            <v>2002</v>
          </cell>
          <cell r="C781">
            <v>1</v>
          </cell>
          <cell r="D781" t="str">
            <v>Production</v>
          </cell>
          <cell r="E781" t="str">
            <v>Oil</v>
          </cell>
          <cell r="F781" t="str">
            <v>Conventional</v>
          </cell>
          <cell r="G781">
            <v>0</v>
          </cell>
          <cell r="H781" t="str">
            <v>Production;Oil;Conventional</v>
          </cell>
          <cell r="I781" t="str">
            <v>Oil;Conventional;0;8</v>
          </cell>
          <cell r="J781" t="str">
            <v>BC</v>
          </cell>
          <cell r="K781" t="str">
            <v>Shallow</v>
          </cell>
          <cell r="L781">
            <v>5</v>
          </cell>
          <cell r="M781">
            <v>41.5</v>
          </cell>
        </row>
        <row r="782">
          <cell r="A782">
            <v>8</v>
          </cell>
          <cell r="B782">
            <v>2003</v>
          </cell>
          <cell r="C782">
            <v>1</v>
          </cell>
          <cell r="D782" t="str">
            <v>Production</v>
          </cell>
          <cell r="E782" t="str">
            <v>Oil</v>
          </cell>
          <cell r="F782" t="str">
            <v>Conventional</v>
          </cell>
          <cell r="G782">
            <v>0</v>
          </cell>
          <cell r="H782" t="str">
            <v>Production;Oil;Conventional</v>
          </cell>
          <cell r="I782" t="str">
            <v>Oil;Conventional;0;8</v>
          </cell>
          <cell r="J782" t="str">
            <v>BC</v>
          </cell>
          <cell r="K782" t="str">
            <v>Deep</v>
          </cell>
          <cell r="L782">
            <v>1</v>
          </cell>
          <cell r="M782">
            <v>14</v>
          </cell>
        </row>
        <row r="783">
          <cell r="A783">
            <v>8</v>
          </cell>
          <cell r="B783">
            <v>2003</v>
          </cell>
          <cell r="C783">
            <v>1</v>
          </cell>
          <cell r="D783" t="str">
            <v>Production</v>
          </cell>
          <cell r="E783" t="str">
            <v>Oil</v>
          </cell>
          <cell r="F783" t="str">
            <v>Conventional</v>
          </cell>
          <cell r="G783">
            <v>0</v>
          </cell>
          <cell r="H783" t="str">
            <v>Production;Oil;Conventional</v>
          </cell>
          <cell r="I783" t="str">
            <v>Oil;Conventional;0;8</v>
          </cell>
          <cell r="J783" t="str">
            <v>BC</v>
          </cell>
          <cell r="K783" t="str">
            <v>Medium</v>
          </cell>
          <cell r="L783">
            <v>30</v>
          </cell>
          <cell r="M783">
            <v>366.5</v>
          </cell>
        </row>
        <row r="784">
          <cell r="A784">
            <v>8</v>
          </cell>
          <cell r="B784">
            <v>2003</v>
          </cell>
          <cell r="C784">
            <v>1</v>
          </cell>
          <cell r="D784" t="str">
            <v>Production</v>
          </cell>
          <cell r="E784" t="str">
            <v>Oil</v>
          </cell>
          <cell r="F784" t="str">
            <v>Conventional</v>
          </cell>
          <cell r="G784">
            <v>0</v>
          </cell>
          <cell r="H784" t="str">
            <v>Production;Oil;Conventional</v>
          </cell>
          <cell r="I784" t="str">
            <v>Oil;Conventional;0;8</v>
          </cell>
          <cell r="J784" t="str">
            <v>BC</v>
          </cell>
          <cell r="K784" t="str">
            <v>Shallow</v>
          </cell>
          <cell r="L784">
            <v>7</v>
          </cell>
          <cell r="M784">
            <v>91</v>
          </cell>
        </row>
        <row r="785">
          <cell r="A785">
            <v>8</v>
          </cell>
          <cell r="B785">
            <v>2004</v>
          </cell>
          <cell r="C785">
            <v>1</v>
          </cell>
          <cell r="D785" t="str">
            <v>Production</v>
          </cell>
          <cell r="E785" t="str">
            <v>Oil</v>
          </cell>
          <cell r="F785" t="str">
            <v>Conventional</v>
          </cell>
          <cell r="G785">
            <v>0</v>
          </cell>
          <cell r="H785" t="str">
            <v>Production;Oil;Conventional</v>
          </cell>
          <cell r="I785" t="str">
            <v>Oil;Conventional;0;8</v>
          </cell>
          <cell r="J785" t="str">
            <v>BC</v>
          </cell>
          <cell r="K785" t="str">
            <v>Medium</v>
          </cell>
          <cell r="L785">
            <v>29</v>
          </cell>
          <cell r="M785">
            <v>405</v>
          </cell>
        </row>
        <row r="786">
          <cell r="A786">
            <v>8</v>
          </cell>
          <cell r="B786">
            <v>2004</v>
          </cell>
          <cell r="C786">
            <v>1</v>
          </cell>
          <cell r="D786" t="str">
            <v>Production</v>
          </cell>
          <cell r="E786" t="str">
            <v>Oil</v>
          </cell>
          <cell r="F786" t="str">
            <v>Conventional</v>
          </cell>
          <cell r="G786">
            <v>0</v>
          </cell>
          <cell r="H786" t="str">
            <v>Production;Oil;Conventional</v>
          </cell>
          <cell r="I786" t="str">
            <v>Oil;Conventional;0;8</v>
          </cell>
          <cell r="J786" t="str">
            <v>BC</v>
          </cell>
          <cell r="K786" t="str">
            <v>Shallow</v>
          </cell>
          <cell r="L786">
            <v>5</v>
          </cell>
          <cell r="M786">
            <v>43</v>
          </cell>
        </row>
        <row r="787">
          <cell r="A787">
            <v>8</v>
          </cell>
          <cell r="B787">
            <v>2005</v>
          </cell>
          <cell r="C787">
            <v>1</v>
          </cell>
          <cell r="D787" t="str">
            <v>Production</v>
          </cell>
          <cell r="E787" t="str">
            <v>Oil</v>
          </cell>
          <cell r="F787" t="str">
            <v>Conventional</v>
          </cell>
          <cell r="G787">
            <v>0</v>
          </cell>
          <cell r="H787" t="str">
            <v>Production;Oil;Conventional</v>
          </cell>
          <cell r="I787" t="str">
            <v>Oil;Conventional;0;8</v>
          </cell>
          <cell r="J787" t="str">
            <v>BC</v>
          </cell>
          <cell r="K787" t="str">
            <v>Deep</v>
          </cell>
          <cell r="L787">
            <v>2</v>
          </cell>
          <cell r="M787">
            <v>27</v>
          </cell>
        </row>
        <row r="788">
          <cell r="A788">
            <v>8</v>
          </cell>
          <cell r="B788">
            <v>2005</v>
          </cell>
          <cell r="C788">
            <v>1</v>
          </cell>
          <cell r="D788" t="str">
            <v>Production</v>
          </cell>
          <cell r="E788" t="str">
            <v>Oil</v>
          </cell>
          <cell r="F788" t="str">
            <v>Conventional</v>
          </cell>
          <cell r="G788">
            <v>0</v>
          </cell>
          <cell r="H788" t="str">
            <v>Production;Oil;Conventional</v>
          </cell>
          <cell r="I788" t="str">
            <v>Oil;Conventional;0;8</v>
          </cell>
          <cell r="J788" t="str">
            <v>BC</v>
          </cell>
          <cell r="K788" t="str">
            <v>Medium</v>
          </cell>
          <cell r="L788">
            <v>31</v>
          </cell>
          <cell r="M788">
            <v>468.5</v>
          </cell>
        </row>
        <row r="789">
          <cell r="A789">
            <v>8</v>
          </cell>
          <cell r="B789">
            <v>2005</v>
          </cell>
          <cell r="C789">
            <v>1</v>
          </cell>
          <cell r="D789" t="str">
            <v>Production</v>
          </cell>
          <cell r="E789" t="str">
            <v>Oil</v>
          </cell>
          <cell r="F789" t="str">
            <v>Conventional</v>
          </cell>
          <cell r="G789">
            <v>0</v>
          </cell>
          <cell r="H789" t="str">
            <v>Production;Oil;Conventional</v>
          </cell>
          <cell r="I789" t="str">
            <v>Oil;Conventional;0;8</v>
          </cell>
          <cell r="J789" t="str">
            <v>BC</v>
          </cell>
          <cell r="K789" t="str">
            <v>Shallow</v>
          </cell>
          <cell r="L789">
            <v>6</v>
          </cell>
          <cell r="M789">
            <v>36.463092000000003</v>
          </cell>
        </row>
        <row r="790">
          <cell r="A790">
            <v>8</v>
          </cell>
          <cell r="B790">
            <v>2006</v>
          </cell>
          <cell r="C790">
            <v>1</v>
          </cell>
          <cell r="D790" t="str">
            <v>Production</v>
          </cell>
          <cell r="E790" t="str">
            <v>Oil</v>
          </cell>
          <cell r="F790" t="str">
            <v>Conventional</v>
          </cell>
          <cell r="G790">
            <v>0</v>
          </cell>
          <cell r="H790" t="str">
            <v>Production;Oil;Conventional</v>
          </cell>
          <cell r="I790" t="str">
            <v>Oil;Conventional;0;8</v>
          </cell>
          <cell r="J790" t="str">
            <v>BC</v>
          </cell>
          <cell r="K790" t="str">
            <v>Medium</v>
          </cell>
          <cell r="L790">
            <v>25</v>
          </cell>
          <cell r="M790">
            <v>302.5</v>
          </cell>
        </row>
        <row r="791">
          <cell r="A791">
            <v>8</v>
          </cell>
          <cell r="B791">
            <v>2006</v>
          </cell>
          <cell r="C791">
            <v>1</v>
          </cell>
          <cell r="D791" t="str">
            <v>Production</v>
          </cell>
          <cell r="E791" t="str">
            <v>Oil</v>
          </cell>
          <cell r="F791" t="str">
            <v>Conventional</v>
          </cell>
          <cell r="G791">
            <v>0</v>
          </cell>
          <cell r="H791" t="str">
            <v>Production;Oil;Conventional</v>
          </cell>
          <cell r="I791" t="str">
            <v>Oil;Conventional;0;8</v>
          </cell>
          <cell r="J791" t="str">
            <v>BC</v>
          </cell>
          <cell r="K791" t="str">
            <v>Shallow</v>
          </cell>
          <cell r="L791">
            <v>9</v>
          </cell>
          <cell r="M791">
            <v>37.166667000000004</v>
          </cell>
        </row>
        <row r="792">
          <cell r="A792">
            <v>8</v>
          </cell>
          <cell r="B792">
            <v>2007</v>
          </cell>
          <cell r="C792">
            <v>1</v>
          </cell>
          <cell r="D792" t="str">
            <v>Production</v>
          </cell>
          <cell r="E792" t="str">
            <v>Oil</v>
          </cell>
          <cell r="F792" t="str">
            <v>Conventional</v>
          </cell>
          <cell r="G792">
            <v>0</v>
          </cell>
          <cell r="H792" t="str">
            <v>Production;Oil;Conventional</v>
          </cell>
          <cell r="I792" t="str">
            <v>Oil;Conventional;0;8</v>
          </cell>
          <cell r="J792" t="str">
            <v>BC</v>
          </cell>
          <cell r="K792" t="str">
            <v>Medium</v>
          </cell>
          <cell r="L792">
            <v>1</v>
          </cell>
          <cell r="M792">
            <v>27</v>
          </cell>
        </row>
        <row r="793">
          <cell r="A793">
            <v>9</v>
          </cell>
          <cell r="B793">
            <v>2000</v>
          </cell>
          <cell r="C793">
            <v>1</v>
          </cell>
          <cell r="D793" t="str">
            <v>Production</v>
          </cell>
          <cell r="E793" t="str">
            <v>Oil</v>
          </cell>
          <cell r="F793" t="str">
            <v>Conventional</v>
          </cell>
          <cell r="G793">
            <v>0</v>
          </cell>
          <cell r="H793" t="str">
            <v>Production;Oil;Conventional</v>
          </cell>
          <cell r="I793" t="str">
            <v>Oil;Conventional;0;9</v>
          </cell>
          <cell r="J793" t="str">
            <v>BC</v>
          </cell>
          <cell r="K793" t="str">
            <v>Medium</v>
          </cell>
          <cell r="L793">
            <v>13</v>
          </cell>
          <cell r="M793">
            <v>197.5</v>
          </cell>
        </row>
        <row r="794">
          <cell r="A794">
            <v>9</v>
          </cell>
          <cell r="B794">
            <v>2000</v>
          </cell>
          <cell r="C794">
            <v>1</v>
          </cell>
          <cell r="D794" t="str">
            <v>Production</v>
          </cell>
          <cell r="E794" t="str">
            <v>Oil</v>
          </cell>
          <cell r="F794" t="str">
            <v>Conventional</v>
          </cell>
          <cell r="G794">
            <v>0</v>
          </cell>
          <cell r="H794" t="str">
            <v>Production;Oil;Conventional</v>
          </cell>
          <cell r="I794" t="str">
            <v>Oil;Conventional;0;9</v>
          </cell>
          <cell r="J794" t="str">
            <v>BC</v>
          </cell>
          <cell r="K794" t="str">
            <v>SHALLOW</v>
          </cell>
          <cell r="L794">
            <v>4</v>
          </cell>
          <cell r="M794">
            <v>17.562463999999999</v>
          </cell>
        </row>
        <row r="795">
          <cell r="A795">
            <v>9</v>
          </cell>
          <cell r="B795">
            <v>2001</v>
          </cell>
          <cell r="C795">
            <v>1</v>
          </cell>
          <cell r="D795" t="str">
            <v>Production</v>
          </cell>
          <cell r="E795" t="str">
            <v>Oil</v>
          </cell>
          <cell r="F795" t="str">
            <v>Conventional</v>
          </cell>
          <cell r="G795">
            <v>0</v>
          </cell>
          <cell r="H795" t="str">
            <v>Production;Oil;Conventional</v>
          </cell>
          <cell r="I795" t="str">
            <v>Oil;Conventional;0;9</v>
          </cell>
          <cell r="J795" t="str">
            <v>BC</v>
          </cell>
          <cell r="K795" t="str">
            <v>Medium</v>
          </cell>
          <cell r="L795">
            <v>6</v>
          </cell>
          <cell r="M795">
            <v>96</v>
          </cell>
        </row>
        <row r="796">
          <cell r="A796">
            <v>9</v>
          </cell>
          <cell r="B796">
            <v>2001</v>
          </cell>
          <cell r="C796">
            <v>1</v>
          </cell>
          <cell r="D796" t="str">
            <v>Production</v>
          </cell>
          <cell r="E796" t="str">
            <v>Oil</v>
          </cell>
          <cell r="F796" t="str">
            <v>Conventional</v>
          </cell>
          <cell r="G796">
            <v>0</v>
          </cell>
          <cell r="H796" t="str">
            <v>Production;Oil;Conventional</v>
          </cell>
          <cell r="I796" t="str">
            <v>Oil;Conventional;0;9</v>
          </cell>
          <cell r="J796" t="str">
            <v>BC</v>
          </cell>
          <cell r="K796" t="str">
            <v>SHALLOW</v>
          </cell>
          <cell r="L796">
            <v>20</v>
          </cell>
          <cell r="M796">
            <v>118.366021</v>
          </cell>
        </row>
        <row r="797">
          <cell r="A797">
            <v>9</v>
          </cell>
          <cell r="B797">
            <v>2001</v>
          </cell>
          <cell r="C797">
            <v>2</v>
          </cell>
          <cell r="D797" t="str">
            <v>Production</v>
          </cell>
          <cell r="E797" t="str">
            <v>Oil</v>
          </cell>
          <cell r="F797" t="str">
            <v>Conventional</v>
          </cell>
          <cell r="G797">
            <v>0</v>
          </cell>
          <cell r="H797" t="str">
            <v>Production;Oil;Conventional</v>
          </cell>
          <cell r="I797" t="str">
            <v>Oil;Conventional;0;9</v>
          </cell>
          <cell r="J797" t="str">
            <v>BC</v>
          </cell>
          <cell r="K797" t="str">
            <v>Medium</v>
          </cell>
          <cell r="L797">
            <v>1</v>
          </cell>
          <cell r="M797">
            <v>11</v>
          </cell>
        </row>
        <row r="798">
          <cell r="A798">
            <v>9</v>
          </cell>
          <cell r="B798">
            <v>2002</v>
          </cell>
          <cell r="C798">
            <v>1</v>
          </cell>
          <cell r="D798" t="str">
            <v>Production</v>
          </cell>
          <cell r="E798" t="str">
            <v>Oil</v>
          </cell>
          <cell r="F798" t="str">
            <v>Conventional</v>
          </cell>
          <cell r="G798">
            <v>0</v>
          </cell>
          <cell r="H798" t="str">
            <v>Production;Oil;Conventional</v>
          </cell>
          <cell r="I798" t="str">
            <v>Oil;Conventional;0;9</v>
          </cell>
          <cell r="J798" t="str">
            <v>BC</v>
          </cell>
          <cell r="K798" t="str">
            <v>Medium</v>
          </cell>
          <cell r="L798">
            <v>14</v>
          </cell>
          <cell r="M798">
            <v>114.57421099999996</v>
          </cell>
        </row>
        <row r="799">
          <cell r="A799">
            <v>9</v>
          </cell>
          <cell r="B799">
            <v>2002</v>
          </cell>
          <cell r="C799">
            <v>1</v>
          </cell>
          <cell r="D799" t="str">
            <v>Production</v>
          </cell>
          <cell r="E799" t="str">
            <v>Oil</v>
          </cell>
          <cell r="F799" t="str">
            <v>Conventional</v>
          </cell>
          <cell r="G799">
            <v>0</v>
          </cell>
          <cell r="H799" t="str">
            <v>Production;Oil;Conventional</v>
          </cell>
          <cell r="I799" t="str">
            <v>Oil;Conventional;0;9</v>
          </cell>
          <cell r="J799" t="str">
            <v>BC</v>
          </cell>
          <cell r="K799" t="str">
            <v>Shallow</v>
          </cell>
          <cell r="L799">
            <v>14</v>
          </cell>
          <cell r="M799">
            <v>95.689290000000014</v>
          </cell>
        </row>
        <row r="800">
          <cell r="A800">
            <v>9</v>
          </cell>
          <cell r="B800">
            <v>2003</v>
          </cell>
          <cell r="C800">
            <v>1</v>
          </cell>
          <cell r="D800" t="str">
            <v>Production</v>
          </cell>
          <cell r="E800" t="str">
            <v>Oil</v>
          </cell>
          <cell r="F800" t="str">
            <v>Conventional</v>
          </cell>
          <cell r="G800">
            <v>0</v>
          </cell>
          <cell r="H800" t="str">
            <v>Production;Oil;Conventional</v>
          </cell>
          <cell r="I800" t="str">
            <v>Oil;Conventional;0;9</v>
          </cell>
          <cell r="J800" t="str">
            <v>BC</v>
          </cell>
          <cell r="K800" t="str">
            <v>Deep</v>
          </cell>
          <cell r="L800">
            <v>1</v>
          </cell>
          <cell r="M800">
            <v>19</v>
          </cell>
        </row>
        <row r="801">
          <cell r="A801">
            <v>9</v>
          </cell>
          <cell r="B801">
            <v>2003</v>
          </cell>
          <cell r="C801">
            <v>1</v>
          </cell>
          <cell r="D801" t="str">
            <v>Production</v>
          </cell>
          <cell r="E801" t="str">
            <v>Oil</v>
          </cell>
          <cell r="F801" t="str">
            <v>Conventional</v>
          </cell>
          <cell r="G801">
            <v>0</v>
          </cell>
          <cell r="H801" t="str">
            <v>Production;Oil;Conventional</v>
          </cell>
          <cell r="I801" t="str">
            <v>Oil;Conventional;0;9</v>
          </cell>
          <cell r="J801" t="str">
            <v>BC</v>
          </cell>
          <cell r="K801" t="str">
            <v>Medium</v>
          </cell>
          <cell r="L801">
            <v>5</v>
          </cell>
          <cell r="M801">
            <v>55.833332999999996</v>
          </cell>
        </row>
        <row r="802">
          <cell r="A802">
            <v>9</v>
          </cell>
          <cell r="B802">
            <v>2003</v>
          </cell>
          <cell r="C802">
            <v>1</v>
          </cell>
          <cell r="D802" t="str">
            <v>Production</v>
          </cell>
          <cell r="E802" t="str">
            <v>Oil</v>
          </cell>
          <cell r="F802" t="str">
            <v>Conventional</v>
          </cell>
          <cell r="G802">
            <v>0</v>
          </cell>
          <cell r="H802" t="str">
            <v>Production;Oil;Conventional</v>
          </cell>
          <cell r="I802" t="str">
            <v>Oil;Conventional;0;9</v>
          </cell>
          <cell r="J802" t="str">
            <v>BC</v>
          </cell>
          <cell r="K802" t="str">
            <v>Shallow</v>
          </cell>
          <cell r="L802">
            <v>23</v>
          </cell>
          <cell r="M802">
            <v>107.77489299999999</v>
          </cell>
        </row>
        <row r="803">
          <cell r="A803">
            <v>9</v>
          </cell>
          <cell r="B803">
            <v>2003</v>
          </cell>
          <cell r="C803">
            <v>2</v>
          </cell>
          <cell r="D803" t="str">
            <v>Production</v>
          </cell>
          <cell r="E803" t="str">
            <v>Oil</v>
          </cell>
          <cell r="F803" t="str">
            <v>Conventional</v>
          </cell>
          <cell r="G803">
            <v>0</v>
          </cell>
          <cell r="H803" t="str">
            <v>Production;Oil;Conventional</v>
          </cell>
          <cell r="I803" t="str">
            <v>Oil;Conventional;0;9</v>
          </cell>
          <cell r="J803" t="str">
            <v>BC</v>
          </cell>
          <cell r="K803" t="str">
            <v>Medium</v>
          </cell>
          <cell r="L803">
            <v>1</v>
          </cell>
          <cell r="M803">
            <v>11</v>
          </cell>
        </row>
        <row r="804">
          <cell r="A804">
            <v>9</v>
          </cell>
          <cell r="B804">
            <v>2004</v>
          </cell>
          <cell r="C804">
            <v>1</v>
          </cell>
          <cell r="D804" t="str">
            <v>Production</v>
          </cell>
          <cell r="E804" t="str">
            <v>Oil</v>
          </cell>
          <cell r="F804" t="str">
            <v>Conventional</v>
          </cell>
          <cell r="G804">
            <v>0</v>
          </cell>
          <cell r="H804" t="str">
            <v>Production;Oil;Conventional</v>
          </cell>
          <cell r="I804" t="str">
            <v>Oil;Conventional;0;9</v>
          </cell>
          <cell r="J804" t="str">
            <v>BC</v>
          </cell>
          <cell r="K804" t="str">
            <v>Medium</v>
          </cell>
          <cell r="L804">
            <v>13</v>
          </cell>
          <cell r="M804">
            <v>157</v>
          </cell>
        </row>
        <row r="805">
          <cell r="A805">
            <v>9</v>
          </cell>
          <cell r="B805">
            <v>2004</v>
          </cell>
          <cell r="C805">
            <v>1</v>
          </cell>
          <cell r="D805" t="str">
            <v>Production</v>
          </cell>
          <cell r="E805" t="str">
            <v>Oil</v>
          </cell>
          <cell r="F805" t="str">
            <v>Conventional</v>
          </cell>
          <cell r="G805">
            <v>0</v>
          </cell>
          <cell r="H805" t="str">
            <v>Production;Oil;Conventional</v>
          </cell>
          <cell r="I805" t="str">
            <v>Oil;Conventional;0;9</v>
          </cell>
          <cell r="J805" t="str">
            <v>BC</v>
          </cell>
          <cell r="K805" t="str">
            <v>Shallow</v>
          </cell>
          <cell r="L805">
            <v>14</v>
          </cell>
          <cell r="M805">
            <v>86.764178000000001</v>
          </cell>
        </row>
        <row r="806">
          <cell r="A806">
            <v>9</v>
          </cell>
          <cell r="B806">
            <v>2005</v>
          </cell>
          <cell r="C806">
            <v>1</v>
          </cell>
          <cell r="D806" t="str">
            <v>Production</v>
          </cell>
          <cell r="E806" t="str">
            <v>Oil</v>
          </cell>
          <cell r="F806" t="str">
            <v>Conventional</v>
          </cell>
          <cell r="G806">
            <v>0</v>
          </cell>
          <cell r="H806" t="str">
            <v>Production;Oil;Conventional</v>
          </cell>
          <cell r="I806" t="str">
            <v>Oil;Conventional;0;9</v>
          </cell>
          <cell r="J806" t="str">
            <v>BC</v>
          </cell>
          <cell r="K806" t="str">
            <v>Shallow</v>
          </cell>
          <cell r="L806">
            <v>6</v>
          </cell>
          <cell r="M806">
            <v>30.863094999999998</v>
          </cell>
        </row>
        <row r="807">
          <cell r="A807">
            <v>9</v>
          </cell>
          <cell r="B807">
            <v>2006</v>
          </cell>
          <cell r="C807">
            <v>1</v>
          </cell>
          <cell r="D807" t="str">
            <v>Production</v>
          </cell>
          <cell r="E807" t="str">
            <v>Oil</v>
          </cell>
          <cell r="F807" t="str">
            <v>Conventional</v>
          </cell>
          <cell r="G807">
            <v>0</v>
          </cell>
          <cell r="H807" t="str">
            <v>Production;Oil;Conventional</v>
          </cell>
          <cell r="I807" t="str">
            <v>Oil;Conventional;0;9</v>
          </cell>
          <cell r="J807" t="str">
            <v>BC</v>
          </cell>
          <cell r="K807" t="str">
            <v>Medium</v>
          </cell>
          <cell r="L807">
            <v>11</v>
          </cell>
          <cell r="M807">
            <v>128</v>
          </cell>
        </row>
        <row r="808">
          <cell r="A808">
            <v>9</v>
          </cell>
          <cell r="B808">
            <v>2006</v>
          </cell>
          <cell r="C808">
            <v>1</v>
          </cell>
          <cell r="D808" t="str">
            <v>Production</v>
          </cell>
          <cell r="E808" t="str">
            <v>Oil</v>
          </cell>
          <cell r="F808" t="str">
            <v>Conventional</v>
          </cell>
          <cell r="G808">
            <v>0</v>
          </cell>
          <cell r="H808" t="str">
            <v>Production;Oil;Conventional</v>
          </cell>
          <cell r="I808" t="str">
            <v>Oil;Conventional;0;9</v>
          </cell>
          <cell r="J808" t="str">
            <v>BC</v>
          </cell>
          <cell r="K808" t="str">
            <v>Shallow</v>
          </cell>
          <cell r="L808">
            <v>6</v>
          </cell>
          <cell r="M808">
            <v>53.240470000000002</v>
          </cell>
        </row>
        <row r="809">
          <cell r="A809">
            <v>11</v>
          </cell>
          <cell r="B809">
            <v>2000</v>
          </cell>
          <cell r="C809">
            <v>1</v>
          </cell>
          <cell r="D809" t="str">
            <v>Production</v>
          </cell>
          <cell r="E809" t="str">
            <v>Oil</v>
          </cell>
          <cell r="F809" t="str">
            <v>Conventional</v>
          </cell>
          <cell r="G809">
            <v>0</v>
          </cell>
          <cell r="H809" t="str">
            <v>Production;Oil;Conventional</v>
          </cell>
          <cell r="I809" t="str">
            <v>Oil;Conventional;0;11</v>
          </cell>
          <cell r="J809" t="str">
            <v>SK</v>
          </cell>
          <cell r="K809" t="str">
            <v>Medium</v>
          </cell>
          <cell r="L809">
            <v>236</v>
          </cell>
          <cell r="M809">
            <v>989.94999830000006</v>
          </cell>
        </row>
        <row r="810">
          <cell r="A810">
            <v>11</v>
          </cell>
          <cell r="B810">
            <v>2000</v>
          </cell>
          <cell r="C810">
            <v>1</v>
          </cell>
          <cell r="D810" t="str">
            <v>Production</v>
          </cell>
          <cell r="E810" t="str">
            <v>Oil</v>
          </cell>
          <cell r="F810" t="str">
            <v>Conventional</v>
          </cell>
          <cell r="G810">
            <v>0</v>
          </cell>
          <cell r="H810" t="str">
            <v>Production;Oil;Conventional</v>
          </cell>
          <cell r="I810" t="str">
            <v>Oil;Conventional;0;11</v>
          </cell>
          <cell r="J810" t="str">
            <v>SK</v>
          </cell>
          <cell r="K810" t="str">
            <v>Shallow</v>
          </cell>
          <cell r="L810">
            <v>891</v>
          </cell>
          <cell r="M810">
            <v>2532.3333336000001</v>
          </cell>
        </row>
        <row r="811">
          <cell r="A811">
            <v>11</v>
          </cell>
          <cell r="B811">
            <v>2001</v>
          </cell>
          <cell r="C811">
            <v>1</v>
          </cell>
          <cell r="D811" t="str">
            <v>Production</v>
          </cell>
          <cell r="E811" t="str">
            <v>Oil</v>
          </cell>
          <cell r="F811" t="str">
            <v>Conventional</v>
          </cell>
          <cell r="G811">
            <v>0</v>
          </cell>
          <cell r="H811" t="str">
            <v>Production;Oil;Conventional</v>
          </cell>
          <cell r="I811" t="str">
            <v>Oil;Conventional;0;11</v>
          </cell>
          <cell r="J811" t="str">
            <v>SK</v>
          </cell>
          <cell r="K811" t="str">
            <v>Medium</v>
          </cell>
          <cell r="L811">
            <v>113</v>
          </cell>
          <cell r="M811">
            <v>507.16666629999997</v>
          </cell>
        </row>
        <row r="812">
          <cell r="A812">
            <v>11</v>
          </cell>
          <cell r="B812">
            <v>2001</v>
          </cell>
          <cell r="C812">
            <v>1</v>
          </cell>
          <cell r="D812" t="str">
            <v>Production</v>
          </cell>
          <cell r="E812" t="str">
            <v>Oil</v>
          </cell>
          <cell r="F812" t="str">
            <v>Conventional</v>
          </cell>
          <cell r="G812">
            <v>0</v>
          </cell>
          <cell r="H812" t="str">
            <v>Production;Oil;Conventional</v>
          </cell>
          <cell r="I812" t="str">
            <v>Oil;Conventional;0;11</v>
          </cell>
          <cell r="J812" t="str">
            <v>SK</v>
          </cell>
          <cell r="K812" t="str">
            <v>Shallow</v>
          </cell>
          <cell r="L812">
            <v>676</v>
          </cell>
          <cell r="M812">
            <v>1847.2289679</v>
          </cell>
        </row>
        <row r="813">
          <cell r="A813">
            <v>11</v>
          </cell>
          <cell r="B813">
            <v>2002</v>
          </cell>
          <cell r="C813">
            <v>1</v>
          </cell>
          <cell r="D813" t="str">
            <v>Production</v>
          </cell>
          <cell r="E813" t="str">
            <v>Oil</v>
          </cell>
          <cell r="F813" t="str">
            <v>Conventional</v>
          </cell>
          <cell r="G813">
            <v>0</v>
          </cell>
          <cell r="H813" t="str">
            <v>Production;Oil;Conventional</v>
          </cell>
          <cell r="I813" t="str">
            <v>Oil;Conventional;0;11</v>
          </cell>
          <cell r="J813" t="str">
            <v>SK</v>
          </cell>
          <cell r="K813" t="str">
            <v>Medium</v>
          </cell>
          <cell r="L813">
            <v>142</v>
          </cell>
          <cell r="M813">
            <v>623.63201800000002</v>
          </cell>
        </row>
        <row r="814">
          <cell r="A814">
            <v>11</v>
          </cell>
          <cell r="B814">
            <v>2002</v>
          </cell>
          <cell r="C814">
            <v>1</v>
          </cell>
          <cell r="D814" t="str">
            <v>Production</v>
          </cell>
          <cell r="E814" t="str">
            <v>Oil</v>
          </cell>
          <cell r="F814" t="str">
            <v>Conventional</v>
          </cell>
          <cell r="G814">
            <v>0</v>
          </cell>
          <cell r="H814" t="str">
            <v>Production;Oil;Conventional</v>
          </cell>
          <cell r="I814" t="str">
            <v>Oil;Conventional;0;11</v>
          </cell>
          <cell r="J814" t="str">
            <v>SK</v>
          </cell>
          <cell r="K814" t="str">
            <v>Shallow</v>
          </cell>
          <cell r="L814">
            <v>586</v>
          </cell>
          <cell r="M814">
            <v>1619.758542</v>
          </cell>
        </row>
        <row r="815">
          <cell r="A815">
            <v>11</v>
          </cell>
          <cell r="B815">
            <v>2002</v>
          </cell>
          <cell r="C815">
            <v>2</v>
          </cell>
          <cell r="D815" t="str">
            <v>Production</v>
          </cell>
          <cell r="E815" t="str">
            <v>Oil</v>
          </cell>
          <cell r="F815" t="str">
            <v>Conventional</v>
          </cell>
          <cell r="G815">
            <v>0</v>
          </cell>
          <cell r="H815" t="str">
            <v>Production;Oil;Conventional</v>
          </cell>
          <cell r="I815" t="str">
            <v>Oil;Conventional;0;11</v>
          </cell>
          <cell r="J815" t="str">
            <v>SK</v>
          </cell>
          <cell r="K815" t="str">
            <v>Medium</v>
          </cell>
          <cell r="L815">
            <v>1</v>
          </cell>
          <cell r="M815">
            <v>2</v>
          </cell>
        </row>
        <row r="816">
          <cell r="A816">
            <v>11</v>
          </cell>
          <cell r="B816">
            <v>2003</v>
          </cell>
          <cell r="C816">
            <v>1</v>
          </cell>
          <cell r="D816" t="str">
            <v>Production</v>
          </cell>
          <cell r="E816" t="str">
            <v>Oil</v>
          </cell>
          <cell r="F816" t="str">
            <v>Conventional</v>
          </cell>
          <cell r="G816">
            <v>0</v>
          </cell>
          <cell r="H816" t="str">
            <v>Production;Oil;Conventional</v>
          </cell>
          <cell r="I816" t="str">
            <v>Oil;Conventional;0;11</v>
          </cell>
          <cell r="J816" t="str">
            <v>SK</v>
          </cell>
          <cell r="K816" t="str">
            <v>Deep</v>
          </cell>
          <cell r="L816">
            <v>9</v>
          </cell>
          <cell r="M816">
            <v>71.700002999999995</v>
          </cell>
        </row>
        <row r="817">
          <cell r="A817">
            <v>11</v>
          </cell>
          <cell r="B817">
            <v>2003</v>
          </cell>
          <cell r="C817">
            <v>1</v>
          </cell>
          <cell r="D817" t="str">
            <v>Production</v>
          </cell>
          <cell r="E817" t="str">
            <v>Oil</v>
          </cell>
          <cell r="F817" t="str">
            <v>Conventional</v>
          </cell>
          <cell r="G817">
            <v>0</v>
          </cell>
          <cell r="H817" t="str">
            <v>Production;Oil;Conventional</v>
          </cell>
          <cell r="I817" t="str">
            <v>Oil;Conventional;0;11</v>
          </cell>
          <cell r="J817" t="str">
            <v>SK</v>
          </cell>
          <cell r="K817" t="str">
            <v>Medium</v>
          </cell>
          <cell r="L817">
            <v>212</v>
          </cell>
          <cell r="M817">
            <v>905.87738809999985</v>
          </cell>
        </row>
        <row r="818">
          <cell r="A818">
            <v>11</v>
          </cell>
          <cell r="B818">
            <v>2003</v>
          </cell>
          <cell r="C818">
            <v>1</v>
          </cell>
          <cell r="D818" t="str">
            <v>Production</v>
          </cell>
          <cell r="E818" t="str">
            <v>Oil</v>
          </cell>
          <cell r="F818" t="str">
            <v>Conventional</v>
          </cell>
          <cell r="G818">
            <v>0</v>
          </cell>
          <cell r="H818" t="str">
            <v>Production;Oil;Conventional</v>
          </cell>
          <cell r="I818" t="str">
            <v>Oil;Conventional;0;11</v>
          </cell>
          <cell r="J818" t="str">
            <v>SK</v>
          </cell>
          <cell r="K818" t="str">
            <v>Shallow</v>
          </cell>
          <cell r="L818">
            <v>675</v>
          </cell>
          <cell r="M818">
            <v>1863.1666660000001</v>
          </cell>
        </row>
        <row r="819">
          <cell r="A819">
            <v>11</v>
          </cell>
          <cell r="B819">
            <v>2003</v>
          </cell>
          <cell r="C819">
            <v>2</v>
          </cell>
          <cell r="D819" t="str">
            <v>Production</v>
          </cell>
          <cell r="E819" t="str">
            <v>Oil</v>
          </cell>
          <cell r="F819" t="str">
            <v>Conventional</v>
          </cell>
          <cell r="G819">
            <v>0</v>
          </cell>
          <cell r="H819" t="str">
            <v>Production;Oil;Conventional</v>
          </cell>
          <cell r="I819" t="str">
            <v>Oil;Conventional;0;11</v>
          </cell>
          <cell r="J819" t="str">
            <v>SK</v>
          </cell>
          <cell r="K819" t="str">
            <v>Medium</v>
          </cell>
          <cell r="L819">
            <v>1</v>
          </cell>
          <cell r="M819">
            <v>2</v>
          </cell>
        </row>
        <row r="820">
          <cell r="A820">
            <v>11</v>
          </cell>
          <cell r="B820">
            <v>2004</v>
          </cell>
          <cell r="C820">
            <v>1</v>
          </cell>
          <cell r="D820" t="str">
            <v>Production</v>
          </cell>
          <cell r="E820" t="str">
            <v>Oil</v>
          </cell>
          <cell r="F820" t="str">
            <v>Conventional</v>
          </cell>
          <cell r="G820">
            <v>0</v>
          </cell>
          <cell r="H820" t="str">
            <v>Production;Oil;Conventional</v>
          </cell>
          <cell r="I820" t="str">
            <v>Oil;Conventional;0;11</v>
          </cell>
          <cell r="J820" t="str">
            <v>SK</v>
          </cell>
          <cell r="K820" t="str">
            <v>Deep</v>
          </cell>
          <cell r="L820">
            <v>3</v>
          </cell>
          <cell r="M820">
            <v>21.5</v>
          </cell>
        </row>
        <row r="821">
          <cell r="A821">
            <v>11</v>
          </cell>
          <cell r="B821">
            <v>2004</v>
          </cell>
          <cell r="C821">
            <v>1</v>
          </cell>
          <cell r="D821" t="str">
            <v>Production</v>
          </cell>
          <cell r="E821" t="str">
            <v>Oil</v>
          </cell>
          <cell r="F821" t="str">
            <v>Conventional</v>
          </cell>
          <cell r="G821">
            <v>0</v>
          </cell>
          <cell r="H821" t="str">
            <v>Production;Oil;Conventional</v>
          </cell>
          <cell r="I821" t="str">
            <v>Oil;Conventional;0;11</v>
          </cell>
          <cell r="J821" t="str">
            <v>SK</v>
          </cell>
          <cell r="K821" t="str">
            <v>Medium</v>
          </cell>
          <cell r="L821">
            <v>147</v>
          </cell>
          <cell r="M821">
            <v>667.5</v>
          </cell>
        </row>
        <row r="822">
          <cell r="A822">
            <v>11</v>
          </cell>
          <cell r="B822">
            <v>2004</v>
          </cell>
          <cell r="C822">
            <v>1</v>
          </cell>
          <cell r="D822" t="str">
            <v>Production</v>
          </cell>
          <cell r="E822" t="str">
            <v>Oil</v>
          </cell>
          <cell r="F822" t="str">
            <v>Conventional</v>
          </cell>
          <cell r="G822">
            <v>0</v>
          </cell>
          <cell r="H822" t="str">
            <v>Production;Oil;Conventional</v>
          </cell>
          <cell r="I822" t="str">
            <v>Oil;Conventional;0;11</v>
          </cell>
          <cell r="J822" t="str">
            <v>SK</v>
          </cell>
          <cell r="K822" t="str">
            <v>Shallow</v>
          </cell>
          <cell r="L822">
            <v>657</v>
          </cell>
          <cell r="M822">
            <v>1928.3333321</v>
          </cell>
        </row>
        <row r="823">
          <cell r="A823">
            <v>11</v>
          </cell>
          <cell r="B823">
            <v>2005</v>
          </cell>
          <cell r="C823">
            <v>1</v>
          </cell>
          <cell r="D823" t="str">
            <v>Production</v>
          </cell>
          <cell r="E823" t="str">
            <v>Oil</v>
          </cell>
          <cell r="F823" t="str">
            <v>Conventional</v>
          </cell>
          <cell r="G823">
            <v>0</v>
          </cell>
          <cell r="H823" t="str">
            <v>Production;Oil;Conventional</v>
          </cell>
          <cell r="I823" t="str">
            <v>Oil;Conventional;0;11</v>
          </cell>
          <cell r="J823" t="str">
            <v>SK</v>
          </cell>
          <cell r="K823" t="str">
            <v>Deep</v>
          </cell>
          <cell r="L823">
            <v>3</v>
          </cell>
          <cell r="M823">
            <v>18.350000000000001</v>
          </cell>
        </row>
        <row r="824">
          <cell r="A824">
            <v>11</v>
          </cell>
          <cell r="B824">
            <v>2005</v>
          </cell>
          <cell r="C824">
            <v>1</v>
          </cell>
          <cell r="D824" t="str">
            <v>Production</v>
          </cell>
          <cell r="E824" t="str">
            <v>Oil</v>
          </cell>
          <cell r="F824" t="str">
            <v>Conventional</v>
          </cell>
          <cell r="G824">
            <v>0</v>
          </cell>
          <cell r="H824" t="str">
            <v>Production;Oil;Conventional</v>
          </cell>
          <cell r="I824" t="str">
            <v>Oil;Conventional;0;11</v>
          </cell>
          <cell r="J824" t="str">
            <v>SK</v>
          </cell>
          <cell r="K824" t="str">
            <v>Medium</v>
          </cell>
          <cell r="L824">
            <v>187</v>
          </cell>
          <cell r="M824">
            <v>897.16667000000007</v>
          </cell>
        </row>
        <row r="825">
          <cell r="A825">
            <v>11</v>
          </cell>
          <cell r="B825">
            <v>2005</v>
          </cell>
          <cell r="C825">
            <v>1</v>
          </cell>
          <cell r="D825" t="str">
            <v>Production</v>
          </cell>
          <cell r="E825" t="str">
            <v>Oil</v>
          </cell>
          <cell r="F825" t="str">
            <v>Conventional</v>
          </cell>
          <cell r="G825">
            <v>0</v>
          </cell>
          <cell r="H825" t="str">
            <v>Production;Oil;Conventional</v>
          </cell>
          <cell r="I825" t="str">
            <v>Oil;Conventional;0;11</v>
          </cell>
          <cell r="J825" t="str">
            <v>SK</v>
          </cell>
          <cell r="K825" t="str">
            <v>Shallow</v>
          </cell>
          <cell r="L825">
            <v>611</v>
          </cell>
          <cell r="M825">
            <v>1810.2770189000003</v>
          </cell>
        </row>
        <row r="826">
          <cell r="A826">
            <v>11</v>
          </cell>
          <cell r="B826">
            <v>2006</v>
          </cell>
          <cell r="C826">
            <v>1</v>
          </cell>
          <cell r="D826" t="str">
            <v>Production</v>
          </cell>
          <cell r="E826" t="str">
            <v>Oil</v>
          </cell>
          <cell r="F826" t="str">
            <v>Conventional</v>
          </cell>
          <cell r="G826">
            <v>0</v>
          </cell>
          <cell r="H826" t="str">
            <v>Production;Oil;Conventional</v>
          </cell>
          <cell r="I826" t="str">
            <v>Oil;Conventional;0;11</v>
          </cell>
          <cell r="J826" t="str">
            <v>SK</v>
          </cell>
          <cell r="K826" t="str">
            <v>Deep</v>
          </cell>
          <cell r="L826">
            <v>4</v>
          </cell>
          <cell r="M826">
            <v>25.5</v>
          </cell>
        </row>
        <row r="827">
          <cell r="A827">
            <v>11</v>
          </cell>
          <cell r="B827">
            <v>2006</v>
          </cell>
          <cell r="C827">
            <v>1</v>
          </cell>
          <cell r="D827" t="str">
            <v>Production</v>
          </cell>
          <cell r="E827" t="str">
            <v>Oil</v>
          </cell>
          <cell r="F827" t="str">
            <v>Conventional</v>
          </cell>
          <cell r="G827">
            <v>0</v>
          </cell>
          <cell r="H827" t="str">
            <v>Production;Oil;Conventional</v>
          </cell>
          <cell r="I827" t="str">
            <v>Oil;Conventional;0;11</v>
          </cell>
          <cell r="J827" t="str">
            <v>SK</v>
          </cell>
          <cell r="K827" t="str">
            <v>Medium</v>
          </cell>
          <cell r="L827">
            <v>244</v>
          </cell>
          <cell r="M827">
            <v>900.91666629999963</v>
          </cell>
        </row>
        <row r="828">
          <cell r="A828">
            <v>11</v>
          </cell>
          <cell r="B828">
            <v>2006</v>
          </cell>
          <cell r="C828">
            <v>1</v>
          </cell>
          <cell r="D828" t="str">
            <v>Production</v>
          </cell>
          <cell r="E828" t="str">
            <v>Oil</v>
          </cell>
          <cell r="F828" t="str">
            <v>Conventional</v>
          </cell>
          <cell r="G828">
            <v>0</v>
          </cell>
          <cell r="H828" t="str">
            <v>Production;Oil;Conventional</v>
          </cell>
          <cell r="I828" t="str">
            <v>Oil;Conventional;0;11</v>
          </cell>
          <cell r="J828" t="str">
            <v>SK</v>
          </cell>
          <cell r="K828" t="str">
            <v>Shallow</v>
          </cell>
          <cell r="L828">
            <v>624</v>
          </cell>
          <cell r="M828">
            <v>2119.2208924000001</v>
          </cell>
        </row>
        <row r="829">
          <cell r="A829">
            <v>11</v>
          </cell>
          <cell r="B829">
            <v>2007</v>
          </cell>
          <cell r="C829">
            <v>1</v>
          </cell>
          <cell r="D829" t="str">
            <v>Production</v>
          </cell>
          <cell r="E829" t="str">
            <v>Oil</v>
          </cell>
          <cell r="F829" t="str">
            <v>Conventional</v>
          </cell>
          <cell r="G829">
            <v>0</v>
          </cell>
          <cell r="H829" t="str">
            <v>Production;Oil;Conventional</v>
          </cell>
          <cell r="I829" t="str">
            <v>Oil;Conventional;0;11</v>
          </cell>
          <cell r="J829" t="str">
            <v>SK</v>
          </cell>
          <cell r="K829" t="str">
            <v>Medium</v>
          </cell>
          <cell r="L829">
            <v>74</v>
          </cell>
          <cell r="M829">
            <v>300</v>
          </cell>
        </row>
        <row r="830">
          <cell r="A830">
            <v>11</v>
          </cell>
          <cell r="B830">
            <v>2007</v>
          </cell>
          <cell r="C830">
            <v>1</v>
          </cell>
          <cell r="D830" t="str">
            <v>Production</v>
          </cell>
          <cell r="E830" t="str">
            <v>Oil</v>
          </cell>
          <cell r="F830" t="str">
            <v>Conventional</v>
          </cell>
          <cell r="G830">
            <v>0</v>
          </cell>
          <cell r="H830" t="str">
            <v>Production;Oil;Conventional</v>
          </cell>
          <cell r="I830" t="str">
            <v>Oil;Conventional;0;11</v>
          </cell>
          <cell r="J830" t="str">
            <v>SK</v>
          </cell>
          <cell r="K830" t="str">
            <v>Shallow</v>
          </cell>
          <cell r="L830">
            <v>151</v>
          </cell>
          <cell r="M830">
            <v>505</v>
          </cell>
        </row>
        <row r="831">
          <cell r="A831">
            <v>12</v>
          </cell>
          <cell r="B831">
            <v>2000</v>
          </cell>
          <cell r="C831">
            <v>1</v>
          </cell>
          <cell r="D831" t="str">
            <v>Production</v>
          </cell>
          <cell r="E831" t="str">
            <v>Oil</v>
          </cell>
          <cell r="F831" t="str">
            <v>Conventional</v>
          </cell>
          <cell r="G831">
            <v>0</v>
          </cell>
          <cell r="H831" t="str">
            <v>Production;Oil;Conventional</v>
          </cell>
          <cell r="I831" t="str">
            <v>Oil;Conventional;0;12</v>
          </cell>
          <cell r="J831" t="str">
            <v>SK</v>
          </cell>
          <cell r="K831" t="str">
            <v>DEEP</v>
          </cell>
          <cell r="L831">
            <v>2</v>
          </cell>
          <cell r="M831">
            <v>11</v>
          </cell>
        </row>
        <row r="832">
          <cell r="A832">
            <v>12</v>
          </cell>
          <cell r="B832">
            <v>2000</v>
          </cell>
          <cell r="C832">
            <v>1</v>
          </cell>
          <cell r="D832" t="str">
            <v>Production</v>
          </cell>
          <cell r="E832" t="str">
            <v>Oil</v>
          </cell>
          <cell r="F832" t="str">
            <v>Conventional</v>
          </cell>
          <cell r="G832">
            <v>0</v>
          </cell>
          <cell r="H832" t="str">
            <v>Production;Oil;Conventional</v>
          </cell>
          <cell r="I832" t="str">
            <v>Oil;Conventional;0;12</v>
          </cell>
          <cell r="J832" t="str">
            <v>SK</v>
          </cell>
          <cell r="K832" t="str">
            <v>Medium</v>
          </cell>
          <cell r="L832">
            <v>109</v>
          </cell>
          <cell r="M832">
            <v>588.5</v>
          </cell>
        </row>
        <row r="833">
          <cell r="A833">
            <v>12</v>
          </cell>
          <cell r="B833">
            <v>2000</v>
          </cell>
          <cell r="C833">
            <v>1</v>
          </cell>
          <cell r="D833" t="str">
            <v>Production</v>
          </cell>
          <cell r="E833" t="str">
            <v>Oil</v>
          </cell>
          <cell r="F833" t="str">
            <v>Conventional</v>
          </cell>
          <cell r="G833">
            <v>0</v>
          </cell>
          <cell r="H833" t="str">
            <v>Production;Oil;Conventional</v>
          </cell>
          <cell r="I833" t="str">
            <v>Oil;Conventional;0;12</v>
          </cell>
          <cell r="J833" t="str">
            <v>SK</v>
          </cell>
          <cell r="K833" t="str">
            <v>Shallow</v>
          </cell>
          <cell r="L833">
            <v>385</v>
          </cell>
          <cell r="M833">
            <v>1501.333333</v>
          </cell>
        </row>
        <row r="834">
          <cell r="A834">
            <v>12</v>
          </cell>
          <cell r="B834">
            <v>2000</v>
          </cell>
          <cell r="C834">
            <v>2</v>
          </cell>
          <cell r="D834" t="str">
            <v>Production</v>
          </cell>
          <cell r="E834" t="str">
            <v>Oil</v>
          </cell>
          <cell r="F834" t="str">
            <v>Conventional</v>
          </cell>
          <cell r="G834">
            <v>0</v>
          </cell>
          <cell r="H834" t="str">
            <v>Production;Oil;Conventional</v>
          </cell>
          <cell r="I834" t="str">
            <v>Oil;Conventional;0;12</v>
          </cell>
          <cell r="J834" t="str">
            <v>SK</v>
          </cell>
          <cell r="K834" t="str">
            <v>Shallow</v>
          </cell>
          <cell r="L834">
            <v>2</v>
          </cell>
          <cell r="M834">
            <v>9</v>
          </cell>
        </row>
        <row r="835">
          <cell r="A835">
            <v>12</v>
          </cell>
          <cell r="B835">
            <v>2001</v>
          </cell>
          <cell r="C835">
            <v>1</v>
          </cell>
          <cell r="D835" t="str">
            <v>Production</v>
          </cell>
          <cell r="E835" t="str">
            <v>Oil</v>
          </cell>
          <cell r="F835" t="str">
            <v>Conventional</v>
          </cell>
          <cell r="G835">
            <v>0</v>
          </cell>
          <cell r="H835" t="str">
            <v>Production;Oil;Conventional</v>
          </cell>
          <cell r="I835" t="str">
            <v>Oil;Conventional;0;12</v>
          </cell>
          <cell r="J835" t="str">
            <v>SK</v>
          </cell>
          <cell r="K835" t="str">
            <v>Medium</v>
          </cell>
          <cell r="L835">
            <v>63</v>
          </cell>
          <cell r="M835">
            <v>308.5</v>
          </cell>
        </row>
        <row r="836">
          <cell r="A836">
            <v>12</v>
          </cell>
          <cell r="B836">
            <v>2001</v>
          </cell>
          <cell r="C836">
            <v>1</v>
          </cell>
          <cell r="D836" t="str">
            <v>Production</v>
          </cell>
          <cell r="E836" t="str">
            <v>Oil</v>
          </cell>
          <cell r="F836" t="str">
            <v>Conventional</v>
          </cell>
          <cell r="G836">
            <v>0</v>
          </cell>
          <cell r="H836" t="str">
            <v>Production;Oil;Conventional</v>
          </cell>
          <cell r="I836" t="str">
            <v>Oil;Conventional;0;12</v>
          </cell>
          <cell r="J836" t="str">
            <v>SK</v>
          </cell>
          <cell r="K836" t="str">
            <v>Shallow</v>
          </cell>
          <cell r="L836">
            <v>340</v>
          </cell>
          <cell r="M836">
            <v>1061.6876903</v>
          </cell>
        </row>
        <row r="837">
          <cell r="A837">
            <v>12</v>
          </cell>
          <cell r="B837">
            <v>2002</v>
          </cell>
          <cell r="C837">
            <v>1</v>
          </cell>
          <cell r="D837" t="str">
            <v>Production</v>
          </cell>
          <cell r="E837" t="str">
            <v>Oil</v>
          </cell>
          <cell r="F837" t="str">
            <v>Conventional</v>
          </cell>
          <cell r="G837">
            <v>0</v>
          </cell>
          <cell r="H837" t="str">
            <v>Production;Oil;Conventional</v>
          </cell>
          <cell r="I837" t="str">
            <v>Oil;Conventional;0;12</v>
          </cell>
          <cell r="J837" t="str">
            <v>SK</v>
          </cell>
          <cell r="K837" t="str">
            <v>Medium</v>
          </cell>
          <cell r="L837">
            <v>57</v>
          </cell>
          <cell r="M837">
            <v>297</v>
          </cell>
        </row>
        <row r="838">
          <cell r="A838">
            <v>12</v>
          </cell>
          <cell r="B838">
            <v>2002</v>
          </cell>
          <cell r="C838">
            <v>1</v>
          </cell>
          <cell r="D838" t="str">
            <v>Production</v>
          </cell>
          <cell r="E838" t="str">
            <v>Oil</v>
          </cell>
          <cell r="F838" t="str">
            <v>Conventional</v>
          </cell>
          <cell r="G838">
            <v>0</v>
          </cell>
          <cell r="H838" t="str">
            <v>Production;Oil;Conventional</v>
          </cell>
          <cell r="I838" t="str">
            <v>Oil;Conventional;0;12</v>
          </cell>
          <cell r="J838" t="str">
            <v>SK</v>
          </cell>
          <cell r="K838" t="str">
            <v>Shallow</v>
          </cell>
          <cell r="L838">
            <v>299</v>
          </cell>
          <cell r="M838">
            <v>884.99999930000001</v>
          </cell>
        </row>
        <row r="839">
          <cell r="A839">
            <v>12</v>
          </cell>
          <cell r="B839">
            <v>2003</v>
          </cell>
          <cell r="C839">
            <v>1</v>
          </cell>
          <cell r="D839" t="str">
            <v>Production</v>
          </cell>
          <cell r="E839" t="str">
            <v>Oil</v>
          </cell>
          <cell r="F839" t="str">
            <v>Conventional</v>
          </cell>
          <cell r="G839">
            <v>0</v>
          </cell>
          <cell r="H839" t="str">
            <v>Production;Oil;Conventional</v>
          </cell>
          <cell r="I839" t="str">
            <v>Oil;Conventional;0;12</v>
          </cell>
          <cell r="J839" t="str">
            <v>SK</v>
          </cell>
          <cell r="K839" t="str">
            <v>Medium</v>
          </cell>
          <cell r="L839">
            <v>73</v>
          </cell>
          <cell r="M839">
            <v>374</v>
          </cell>
        </row>
        <row r="840">
          <cell r="A840">
            <v>12</v>
          </cell>
          <cell r="B840">
            <v>2003</v>
          </cell>
          <cell r="C840">
            <v>1</v>
          </cell>
          <cell r="D840" t="str">
            <v>Production</v>
          </cell>
          <cell r="E840" t="str">
            <v>Oil</v>
          </cell>
          <cell r="F840" t="str">
            <v>Conventional</v>
          </cell>
          <cell r="G840">
            <v>0</v>
          </cell>
          <cell r="H840" t="str">
            <v>Production;Oil;Conventional</v>
          </cell>
          <cell r="I840" t="str">
            <v>Oil;Conventional;0;12</v>
          </cell>
          <cell r="J840" t="str">
            <v>SK</v>
          </cell>
          <cell r="K840" t="str">
            <v>Shallow</v>
          </cell>
          <cell r="L840">
            <v>291</v>
          </cell>
          <cell r="M840">
            <v>892.49999900000012</v>
          </cell>
        </row>
        <row r="841">
          <cell r="A841">
            <v>12</v>
          </cell>
          <cell r="B841">
            <v>2004</v>
          </cell>
          <cell r="C841">
            <v>1</v>
          </cell>
          <cell r="D841" t="str">
            <v>Production</v>
          </cell>
          <cell r="E841" t="str">
            <v>Oil</v>
          </cell>
          <cell r="F841" t="str">
            <v>Conventional</v>
          </cell>
          <cell r="G841">
            <v>0</v>
          </cell>
          <cell r="H841" t="str">
            <v>Production;Oil;Conventional</v>
          </cell>
          <cell r="I841" t="str">
            <v>Oil;Conventional;0;12</v>
          </cell>
          <cell r="J841" t="str">
            <v>SK</v>
          </cell>
          <cell r="K841" t="str">
            <v>Medium</v>
          </cell>
          <cell r="L841">
            <v>82</v>
          </cell>
          <cell r="M841">
            <v>450.99999899999995</v>
          </cell>
        </row>
        <row r="842">
          <cell r="A842">
            <v>12</v>
          </cell>
          <cell r="B842">
            <v>2004</v>
          </cell>
          <cell r="C842">
            <v>1</v>
          </cell>
          <cell r="D842" t="str">
            <v>Production</v>
          </cell>
          <cell r="E842" t="str">
            <v>Oil</v>
          </cell>
          <cell r="F842" t="str">
            <v>Conventional</v>
          </cell>
          <cell r="G842">
            <v>0</v>
          </cell>
          <cell r="H842" t="str">
            <v>Production;Oil;Conventional</v>
          </cell>
          <cell r="I842" t="str">
            <v>Oil;Conventional;0;12</v>
          </cell>
          <cell r="J842" t="str">
            <v>SK</v>
          </cell>
          <cell r="K842" t="str">
            <v>Shallow</v>
          </cell>
          <cell r="L842">
            <v>296</v>
          </cell>
          <cell r="M842">
            <v>888.49999850000029</v>
          </cell>
        </row>
        <row r="843">
          <cell r="A843">
            <v>12</v>
          </cell>
          <cell r="B843">
            <v>2005</v>
          </cell>
          <cell r="C843">
            <v>1</v>
          </cell>
          <cell r="D843" t="str">
            <v>Production</v>
          </cell>
          <cell r="E843" t="str">
            <v>Oil</v>
          </cell>
          <cell r="F843" t="str">
            <v>Conventional</v>
          </cell>
          <cell r="G843">
            <v>0</v>
          </cell>
          <cell r="H843" t="str">
            <v>Production;Oil;Conventional</v>
          </cell>
          <cell r="I843" t="str">
            <v>Oil;Conventional;0;12</v>
          </cell>
          <cell r="J843" t="str">
            <v>SK</v>
          </cell>
          <cell r="K843" t="str">
            <v>Deep</v>
          </cell>
          <cell r="L843">
            <v>4</v>
          </cell>
          <cell r="M843">
            <v>7</v>
          </cell>
        </row>
        <row r="844">
          <cell r="A844">
            <v>12</v>
          </cell>
          <cell r="B844">
            <v>2005</v>
          </cell>
          <cell r="C844">
            <v>1</v>
          </cell>
          <cell r="D844" t="str">
            <v>Production</v>
          </cell>
          <cell r="E844" t="str">
            <v>Oil</v>
          </cell>
          <cell r="F844" t="str">
            <v>Conventional</v>
          </cell>
          <cell r="G844">
            <v>0</v>
          </cell>
          <cell r="H844" t="str">
            <v>Production;Oil;Conventional</v>
          </cell>
          <cell r="I844" t="str">
            <v>Oil;Conventional;0;12</v>
          </cell>
          <cell r="J844" t="str">
            <v>SK</v>
          </cell>
          <cell r="K844" t="str">
            <v>Medium</v>
          </cell>
          <cell r="L844">
            <v>52</v>
          </cell>
          <cell r="M844">
            <v>336.75</v>
          </cell>
        </row>
        <row r="845">
          <cell r="A845">
            <v>12</v>
          </cell>
          <cell r="B845">
            <v>2005</v>
          </cell>
          <cell r="C845">
            <v>1</v>
          </cell>
          <cell r="D845" t="str">
            <v>Production</v>
          </cell>
          <cell r="E845" t="str">
            <v>Oil</v>
          </cell>
          <cell r="F845" t="str">
            <v>Conventional</v>
          </cell>
          <cell r="G845">
            <v>0</v>
          </cell>
          <cell r="H845" t="str">
            <v>Production;Oil;Conventional</v>
          </cell>
          <cell r="I845" t="str">
            <v>Oil;Conventional;0;12</v>
          </cell>
          <cell r="J845" t="str">
            <v>SK</v>
          </cell>
          <cell r="K845" t="str">
            <v>Shallow</v>
          </cell>
          <cell r="L845">
            <v>337</v>
          </cell>
          <cell r="M845">
            <v>1162.3690500999996</v>
          </cell>
        </row>
        <row r="846">
          <cell r="A846">
            <v>12</v>
          </cell>
          <cell r="B846">
            <v>2006</v>
          </cell>
          <cell r="C846">
            <v>1</v>
          </cell>
          <cell r="D846" t="str">
            <v>Production</v>
          </cell>
          <cell r="E846" t="str">
            <v>Oil</v>
          </cell>
          <cell r="F846" t="str">
            <v>Conventional</v>
          </cell>
          <cell r="G846">
            <v>0</v>
          </cell>
          <cell r="H846" t="str">
            <v>Production;Oil;Conventional</v>
          </cell>
          <cell r="I846" t="str">
            <v>Oil;Conventional;0;12</v>
          </cell>
          <cell r="J846" t="str">
            <v>SK</v>
          </cell>
          <cell r="K846" t="str">
            <v>Deep</v>
          </cell>
          <cell r="L846">
            <v>1</v>
          </cell>
          <cell r="M846">
            <v>1</v>
          </cell>
        </row>
        <row r="847">
          <cell r="A847">
            <v>12</v>
          </cell>
          <cell r="B847">
            <v>2006</v>
          </cell>
          <cell r="C847">
            <v>1</v>
          </cell>
          <cell r="D847" t="str">
            <v>Production</v>
          </cell>
          <cell r="E847" t="str">
            <v>Oil</v>
          </cell>
          <cell r="F847" t="str">
            <v>Conventional</v>
          </cell>
          <cell r="G847">
            <v>0</v>
          </cell>
          <cell r="H847" t="str">
            <v>Production;Oil;Conventional</v>
          </cell>
          <cell r="I847" t="str">
            <v>Oil;Conventional;0;12</v>
          </cell>
          <cell r="J847" t="str">
            <v>SK</v>
          </cell>
          <cell r="K847" t="str">
            <v>Medium</v>
          </cell>
          <cell r="L847">
            <v>41</v>
          </cell>
          <cell r="M847">
            <v>276.33333300000004</v>
          </cell>
        </row>
        <row r="848">
          <cell r="A848">
            <v>12</v>
          </cell>
          <cell r="B848">
            <v>2006</v>
          </cell>
          <cell r="C848">
            <v>1</v>
          </cell>
          <cell r="D848" t="str">
            <v>Production</v>
          </cell>
          <cell r="E848" t="str">
            <v>Oil</v>
          </cell>
          <cell r="F848" t="str">
            <v>Conventional</v>
          </cell>
          <cell r="G848">
            <v>0</v>
          </cell>
          <cell r="H848" t="str">
            <v>Production;Oil;Conventional</v>
          </cell>
          <cell r="I848" t="str">
            <v>Oil;Conventional;0;12</v>
          </cell>
          <cell r="J848" t="str">
            <v>SK</v>
          </cell>
          <cell r="K848" t="str">
            <v>Shallow</v>
          </cell>
          <cell r="L848">
            <v>339</v>
          </cell>
          <cell r="M848">
            <v>1139.7666649</v>
          </cell>
        </row>
        <row r="849">
          <cell r="A849">
            <v>12</v>
          </cell>
          <cell r="B849">
            <v>2007</v>
          </cell>
          <cell r="C849">
            <v>1</v>
          </cell>
          <cell r="D849" t="str">
            <v>Production</v>
          </cell>
          <cell r="E849" t="str">
            <v>Oil</v>
          </cell>
          <cell r="F849" t="str">
            <v>Conventional</v>
          </cell>
          <cell r="G849">
            <v>0</v>
          </cell>
          <cell r="H849" t="str">
            <v>Production;Oil;Conventional</v>
          </cell>
          <cell r="I849" t="str">
            <v>Oil;Conventional;0;12</v>
          </cell>
          <cell r="J849" t="str">
            <v>SK</v>
          </cell>
          <cell r="K849" t="str">
            <v>Medium</v>
          </cell>
          <cell r="L849">
            <v>9</v>
          </cell>
          <cell r="M849">
            <v>72</v>
          </cell>
        </row>
        <row r="850">
          <cell r="A850">
            <v>12</v>
          </cell>
          <cell r="B850">
            <v>2007</v>
          </cell>
          <cell r="C850">
            <v>1</v>
          </cell>
          <cell r="D850" t="str">
            <v>Production</v>
          </cell>
          <cell r="E850" t="str">
            <v>Oil</v>
          </cell>
          <cell r="F850" t="str">
            <v>Conventional</v>
          </cell>
          <cell r="G850">
            <v>0</v>
          </cell>
          <cell r="H850" t="str">
            <v>Production;Oil;Conventional</v>
          </cell>
          <cell r="I850" t="str">
            <v>Oil;Conventional;0;12</v>
          </cell>
          <cell r="J850" t="str">
            <v>SK</v>
          </cell>
          <cell r="K850" t="str">
            <v>Shallow</v>
          </cell>
          <cell r="L850">
            <v>78</v>
          </cell>
          <cell r="M850">
            <v>273.5</v>
          </cell>
        </row>
        <row r="851">
          <cell r="A851">
            <v>13</v>
          </cell>
          <cell r="B851">
            <v>2000</v>
          </cell>
          <cell r="C851">
            <v>1</v>
          </cell>
          <cell r="D851" t="str">
            <v>Production</v>
          </cell>
          <cell r="E851" t="str">
            <v>Oil</v>
          </cell>
          <cell r="F851" t="str">
            <v>Conventional</v>
          </cell>
          <cell r="G851">
            <v>0</v>
          </cell>
          <cell r="H851" t="str">
            <v>Production;Oil;Conventional</v>
          </cell>
          <cell r="I851" t="str">
            <v>Oil;Conventional;0;13</v>
          </cell>
          <cell r="J851" t="str">
            <v>SK</v>
          </cell>
          <cell r="K851" t="str">
            <v>Deep</v>
          </cell>
          <cell r="L851">
            <v>64</v>
          </cell>
          <cell r="M851">
            <v>771</v>
          </cell>
        </row>
        <row r="852">
          <cell r="A852">
            <v>13</v>
          </cell>
          <cell r="B852">
            <v>2000</v>
          </cell>
          <cell r="C852">
            <v>1</v>
          </cell>
          <cell r="D852" t="str">
            <v>Production</v>
          </cell>
          <cell r="E852" t="str">
            <v>Oil</v>
          </cell>
          <cell r="F852" t="str">
            <v>Conventional</v>
          </cell>
          <cell r="G852">
            <v>0</v>
          </cell>
          <cell r="H852" t="str">
            <v>Production;Oil;Conventional</v>
          </cell>
          <cell r="I852" t="str">
            <v>Oil;Conventional;0;13</v>
          </cell>
          <cell r="J852" t="str">
            <v>SK</v>
          </cell>
          <cell r="K852" t="str">
            <v>MEDIUM</v>
          </cell>
          <cell r="L852">
            <v>474</v>
          </cell>
          <cell r="M852">
            <v>5287.3333299999995</v>
          </cell>
        </row>
        <row r="853">
          <cell r="A853">
            <v>13</v>
          </cell>
          <cell r="B853">
            <v>2000</v>
          </cell>
          <cell r="C853">
            <v>1</v>
          </cell>
          <cell r="D853" t="str">
            <v>Production</v>
          </cell>
          <cell r="E853" t="str">
            <v>Oil</v>
          </cell>
          <cell r="F853" t="str">
            <v>Conventional</v>
          </cell>
          <cell r="G853">
            <v>0</v>
          </cell>
          <cell r="H853" t="str">
            <v>Production;Oil;Conventional</v>
          </cell>
          <cell r="I853" t="str">
            <v>Oil;Conventional;0;13</v>
          </cell>
          <cell r="J853" t="str">
            <v>SK</v>
          </cell>
          <cell r="K853" t="str">
            <v>SHALLOW</v>
          </cell>
          <cell r="L853">
            <v>89</v>
          </cell>
          <cell r="M853">
            <v>379</v>
          </cell>
        </row>
        <row r="854">
          <cell r="A854">
            <v>13</v>
          </cell>
          <cell r="B854">
            <v>2000</v>
          </cell>
          <cell r="C854">
            <v>2</v>
          </cell>
          <cell r="D854" t="str">
            <v>Production</v>
          </cell>
          <cell r="E854" t="str">
            <v>Oil</v>
          </cell>
          <cell r="F854" t="str">
            <v>Conventional</v>
          </cell>
          <cell r="G854">
            <v>0</v>
          </cell>
          <cell r="H854" t="str">
            <v>Production;Oil;Conventional</v>
          </cell>
          <cell r="I854" t="str">
            <v>Oil;Conventional;0;13</v>
          </cell>
          <cell r="J854" t="str">
            <v>SK</v>
          </cell>
          <cell r="K854" t="str">
            <v>Deep</v>
          </cell>
          <cell r="L854">
            <v>4</v>
          </cell>
          <cell r="M854">
            <v>20</v>
          </cell>
        </row>
        <row r="855">
          <cell r="A855">
            <v>13</v>
          </cell>
          <cell r="B855">
            <v>2000</v>
          </cell>
          <cell r="C855">
            <v>2</v>
          </cell>
          <cell r="D855" t="str">
            <v>Production</v>
          </cell>
          <cell r="E855" t="str">
            <v>Oil</v>
          </cell>
          <cell r="F855" t="str">
            <v>Conventional</v>
          </cell>
          <cell r="G855">
            <v>0</v>
          </cell>
          <cell r="H855" t="str">
            <v>Production;Oil;Conventional</v>
          </cell>
          <cell r="I855" t="str">
            <v>Oil;Conventional;0;13</v>
          </cell>
          <cell r="J855" t="str">
            <v>SK</v>
          </cell>
          <cell r="K855" t="str">
            <v>Medium</v>
          </cell>
          <cell r="L855">
            <v>31</v>
          </cell>
          <cell r="M855">
            <v>156.5</v>
          </cell>
        </row>
        <row r="856">
          <cell r="A856">
            <v>13</v>
          </cell>
          <cell r="B856">
            <v>2000</v>
          </cell>
          <cell r="C856">
            <v>3</v>
          </cell>
          <cell r="D856" t="str">
            <v>Production</v>
          </cell>
          <cell r="E856" t="str">
            <v>Oil</v>
          </cell>
          <cell r="F856" t="str">
            <v>Conventional</v>
          </cell>
          <cell r="G856">
            <v>0</v>
          </cell>
          <cell r="H856" t="str">
            <v>Production;Oil;Conventional</v>
          </cell>
          <cell r="I856" t="str">
            <v>Oil;Conventional;0;13</v>
          </cell>
          <cell r="J856" t="str">
            <v>SK</v>
          </cell>
          <cell r="K856" t="str">
            <v>MEDIUM</v>
          </cell>
          <cell r="L856">
            <v>4</v>
          </cell>
          <cell r="M856">
            <v>36</v>
          </cell>
        </row>
        <row r="857">
          <cell r="A857">
            <v>13</v>
          </cell>
          <cell r="B857">
            <v>2001</v>
          </cell>
          <cell r="C857">
            <v>1</v>
          </cell>
          <cell r="D857" t="str">
            <v>Production</v>
          </cell>
          <cell r="E857" t="str">
            <v>Oil</v>
          </cell>
          <cell r="F857" t="str">
            <v>Conventional</v>
          </cell>
          <cell r="G857">
            <v>0</v>
          </cell>
          <cell r="H857" t="str">
            <v>Production;Oil;Conventional</v>
          </cell>
          <cell r="I857" t="str">
            <v>Oil;Conventional;0;13</v>
          </cell>
          <cell r="J857" t="str">
            <v>SK</v>
          </cell>
          <cell r="K857" t="str">
            <v>Deep</v>
          </cell>
          <cell r="L857">
            <v>87</v>
          </cell>
          <cell r="M857">
            <v>874</v>
          </cell>
        </row>
        <row r="858">
          <cell r="A858">
            <v>13</v>
          </cell>
          <cell r="B858">
            <v>2001</v>
          </cell>
          <cell r="C858">
            <v>1</v>
          </cell>
          <cell r="D858" t="str">
            <v>Production</v>
          </cell>
          <cell r="E858" t="str">
            <v>Oil</v>
          </cell>
          <cell r="F858" t="str">
            <v>Conventional</v>
          </cell>
          <cell r="G858">
            <v>0</v>
          </cell>
          <cell r="H858" t="str">
            <v>Production;Oil;Conventional</v>
          </cell>
          <cell r="I858" t="str">
            <v>Oil;Conventional;0;13</v>
          </cell>
          <cell r="J858" t="str">
            <v>SK</v>
          </cell>
          <cell r="K858" t="str">
            <v>MEDIUM</v>
          </cell>
          <cell r="L858">
            <v>464</v>
          </cell>
          <cell r="M858">
            <v>5169</v>
          </cell>
        </row>
        <row r="859">
          <cell r="A859">
            <v>13</v>
          </cell>
          <cell r="B859">
            <v>2001</v>
          </cell>
          <cell r="C859">
            <v>1</v>
          </cell>
          <cell r="D859" t="str">
            <v>Production</v>
          </cell>
          <cell r="E859" t="str">
            <v>Oil</v>
          </cell>
          <cell r="F859" t="str">
            <v>Conventional</v>
          </cell>
          <cell r="G859">
            <v>0</v>
          </cell>
          <cell r="H859" t="str">
            <v>Production;Oil;Conventional</v>
          </cell>
          <cell r="I859" t="str">
            <v>Oil;Conventional;0;13</v>
          </cell>
          <cell r="J859" t="str">
            <v>SK</v>
          </cell>
          <cell r="K859" t="str">
            <v>SHALLOW</v>
          </cell>
          <cell r="L859">
            <v>56</v>
          </cell>
          <cell r="M859">
            <v>263.5</v>
          </cell>
        </row>
        <row r="860">
          <cell r="A860">
            <v>13</v>
          </cell>
          <cell r="B860">
            <v>2001</v>
          </cell>
          <cell r="C860">
            <v>2</v>
          </cell>
          <cell r="D860" t="str">
            <v>Production</v>
          </cell>
          <cell r="E860" t="str">
            <v>Oil</v>
          </cell>
          <cell r="F860" t="str">
            <v>Conventional</v>
          </cell>
          <cell r="G860">
            <v>0</v>
          </cell>
          <cell r="H860" t="str">
            <v>Production;Oil;Conventional</v>
          </cell>
          <cell r="I860" t="str">
            <v>Oil;Conventional;0;13</v>
          </cell>
          <cell r="J860" t="str">
            <v>SK</v>
          </cell>
          <cell r="K860" t="str">
            <v>Deep</v>
          </cell>
          <cell r="L860">
            <v>1</v>
          </cell>
          <cell r="M860">
            <v>4</v>
          </cell>
        </row>
        <row r="861">
          <cell r="A861">
            <v>13</v>
          </cell>
          <cell r="B861">
            <v>2001</v>
          </cell>
          <cell r="C861">
            <v>2</v>
          </cell>
          <cell r="D861" t="str">
            <v>Production</v>
          </cell>
          <cell r="E861" t="str">
            <v>Oil</v>
          </cell>
          <cell r="F861" t="str">
            <v>Conventional</v>
          </cell>
          <cell r="G861">
            <v>0</v>
          </cell>
          <cell r="H861" t="str">
            <v>Production;Oil;Conventional</v>
          </cell>
          <cell r="I861" t="str">
            <v>Oil;Conventional;0;13</v>
          </cell>
          <cell r="J861" t="str">
            <v>SK</v>
          </cell>
          <cell r="K861" t="str">
            <v>Medium</v>
          </cell>
          <cell r="L861">
            <v>33</v>
          </cell>
          <cell r="M861">
            <v>171.83332999999999</v>
          </cell>
        </row>
        <row r="862">
          <cell r="A862">
            <v>13</v>
          </cell>
          <cell r="B862">
            <v>2001</v>
          </cell>
          <cell r="C862">
            <v>2</v>
          </cell>
          <cell r="D862" t="str">
            <v>Production</v>
          </cell>
          <cell r="E862" t="str">
            <v>Oil</v>
          </cell>
          <cell r="F862" t="str">
            <v>Conventional</v>
          </cell>
          <cell r="G862">
            <v>0</v>
          </cell>
          <cell r="H862" t="str">
            <v>Production;Oil;Conventional</v>
          </cell>
          <cell r="I862" t="str">
            <v>Oil;Conventional;0;13</v>
          </cell>
          <cell r="J862" t="str">
            <v>SK</v>
          </cell>
          <cell r="K862" t="str">
            <v>Shallow</v>
          </cell>
          <cell r="L862">
            <v>1</v>
          </cell>
          <cell r="M862">
            <v>5</v>
          </cell>
        </row>
        <row r="863">
          <cell r="A863">
            <v>13</v>
          </cell>
          <cell r="B863">
            <v>2001</v>
          </cell>
          <cell r="C863">
            <v>3</v>
          </cell>
          <cell r="D863" t="str">
            <v>Production</v>
          </cell>
          <cell r="E863" t="str">
            <v>Oil</v>
          </cell>
          <cell r="F863" t="str">
            <v>Conventional</v>
          </cell>
          <cell r="G863">
            <v>0</v>
          </cell>
          <cell r="H863" t="str">
            <v>Production;Oil;Conventional</v>
          </cell>
          <cell r="I863" t="str">
            <v>Oil;Conventional;0;13</v>
          </cell>
          <cell r="J863" t="str">
            <v>SK</v>
          </cell>
          <cell r="K863" t="str">
            <v>MEDIUM</v>
          </cell>
          <cell r="L863">
            <v>2</v>
          </cell>
          <cell r="M863">
            <v>7</v>
          </cell>
        </row>
        <row r="864">
          <cell r="A864">
            <v>13</v>
          </cell>
          <cell r="B864">
            <v>2002</v>
          </cell>
          <cell r="C864">
            <v>1</v>
          </cell>
          <cell r="D864" t="str">
            <v>Production</v>
          </cell>
          <cell r="E864" t="str">
            <v>Oil</v>
          </cell>
          <cell r="F864" t="str">
            <v>Conventional</v>
          </cell>
          <cell r="G864">
            <v>0</v>
          </cell>
          <cell r="H864" t="str">
            <v>Production;Oil;Conventional</v>
          </cell>
          <cell r="I864" t="str">
            <v>Oil;Conventional;0;13</v>
          </cell>
          <cell r="J864" t="str">
            <v>SK</v>
          </cell>
          <cell r="K864" t="str">
            <v>Deep</v>
          </cell>
          <cell r="L864">
            <v>38</v>
          </cell>
          <cell r="M864">
            <v>439</v>
          </cell>
        </row>
        <row r="865">
          <cell r="A865">
            <v>13</v>
          </cell>
          <cell r="B865">
            <v>2002</v>
          </cell>
          <cell r="C865">
            <v>1</v>
          </cell>
          <cell r="D865" t="str">
            <v>Production</v>
          </cell>
          <cell r="E865" t="str">
            <v>Oil</v>
          </cell>
          <cell r="F865" t="str">
            <v>Conventional</v>
          </cell>
          <cell r="G865">
            <v>0</v>
          </cell>
          <cell r="H865" t="str">
            <v>Production;Oil;Conventional</v>
          </cell>
          <cell r="I865" t="str">
            <v>Oil;Conventional;0;13</v>
          </cell>
          <cell r="J865" t="str">
            <v>SK</v>
          </cell>
          <cell r="K865" t="str">
            <v>MEDIUM</v>
          </cell>
          <cell r="L865">
            <v>312</v>
          </cell>
          <cell r="M865">
            <v>3264</v>
          </cell>
        </row>
        <row r="866">
          <cell r="A866">
            <v>13</v>
          </cell>
          <cell r="B866">
            <v>2002</v>
          </cell>
          <cell r="C866">
            <v>1</v>
          </cell>
          <cell r="D866" t="str">
            <v>Production</v>
          </cell>
          <cell r="E866" t="str">
            <v>Oil</v>
          </cell>
          <cell r="F866" t="str">
            <v>Conventional</v>
          </cell>
          <cell r="G866">
            <v>0</v>
          </cell>
          <cell r="H866" t="str">
            <v>Production;Oil;Conventional</v>
          </cell>
          <cell r="I866" t="str">
            <v>Oil;Conventional;0;13</v>
          </cell>
          <cell r="J866" t="str">
            <v>SK</v>
          </cell>
          <cell r="K866" t="str">
            <v>SHALLOW</v>
          </cell>
          <cell r="L866">
            <v>55</v>
          </cell>
          <cell r="M866">
            <v>269</v>
          </cell>
        </row>
        <row r="867">
          <cell r="A867">
            <v>13</v>
          </cell>
          <cell r="B867">
            <v>2002</v>
          </cell>
          <cell r="C867">
            <v>2</v>
          </cell>
          <cell r="D867" t="str">
            <v>Production</v>
          </cell>
          <cell r="E867" t="str">
            <v>Oil</v>
          </cell>
          <cell r="F867" t="str">
            <v>Conventional</v>
          </cell>
          <cell r="G867">
            <v>0</v>
          </cell>
          <cell r="H867" t="str">
            <v>Production;Oil;Conventional</v>
          </cell>
          <cell r="I867" t="str">
            <v>Oil;Conventional;0;13</v>
          </cell>
          <cell r="J867" t="str">
            <v>SK</v>
          </cell>
          <cell r="K867" t="str">
            <v>Deep</v>
          </cell>
          <cell r="L867">
            <v>4</v>
          </cell>
          <cell r="M867">
            <v>25</v>
          </cell>
        </row>
        <row r="868">
          <cell r="A868">
            <v>13</v>
          </cell>
          <cell r="B868">
            <v>2002</v>
          </cell>
          <cell r="C868">
            <v>2</v>
          </cell>
          <cell r="D868" t="str">
            <v>Production</v>
          </cell>
          <cell r="E868" t="str">
            <v>Oil</v>
          </cell>
          <cell r="F868" t="str">
            <v>Conventional</v>
          </cell>
          <cell r="G868">
            <v>0</v>
          </cell>
          <cell r="H868" t="str">
            <v>Production;Oil;Conventional</v>
          </cell>
          <cell r="I868" t="str">
            <v>Oil;Conventional;0;13</v>
          </cell>
          <cell r="J868" t="str">
            <v>SK</v>
          </cell>
          <cell r="K868" t="str">
            <v>MEDIUM</v>
          </cell>
          <cell r="L868">
            <v>31</v>
          </cell>
          <cell r="M868">
            <v>162</v>
          </cell>
        </row>
        <row r="869">
          <cell r="A869">
            <v>13</v>
          </cell>
          <cell r="B869">
            <v>2002</v>
          </cell>
          <cell r="C869">
            <v>2</v>
          </cell>
          <cell r="D869" t="str">
            <v>Production</v>
          </cell>
          <cell r="E869" t="str">
            <v>Oil</v>
          </cell>
          <cell r="F869" t="str">
            <v>Conventional</v>
          </cell>
          <cell r="G869">
            <v>0</v>
          </cell>
          <cell r="H869" t="str">
            <v>Production;Oil;Conventional</v>
          </cell>
          <cell r="I869" t="str">
            <v>Oil;Conventional;0;13</v>
          </cell>
          <cell r="J869" t="str">
            <v>SK</v>
          </cell>
          <cell r="K869" t="str">
            <v>Shallow</v>
          </cell>
          <cell r="L869">
            <v>1</v>
          </cell>
          <cell r="M869">
            <v>3</v>
          </cell>
        </row>
        <row r="870">
          <cell r="A870">
            <v>13</v>
          </cell>
          <cell r="B870">
            <v>2002</v>
          </cell>
          <cell r="C870">
            <v>3</v>
          </cell>
          <cell r="D870" t="str">
            <v>Production</v>
          </cell>
          <cell r="E870" t="str">
            <v>Oil</v>
          </cell>
          <cell r="F870" t="str">
            <v>Conventional</v>
          </cell>
          <cell r="G870">
            <v>0</v>
          </cell>
          <cell r="H870" t="str">
            <v>Production;Oil;Conventional</v>
          </cell>
          <cell r="I870" t="str">
            <v>Oil;Conventional;0;13</v>
          </cell>
          <cell r="J870" t="str">
            <v>SK</v>
          </cell>
          <cell r="K870" t="str">
            <v>Medium</v>
          </cell>
          <cell r="L870">
            <v>4</v>
          </cell>
          <cell r="M870">
            <v>23</v>
          </cell>
        </row>
        <row r="871">
          <cell r="A871">
            <v>13</v>
          </cell>
          <cell r="B871">
            <v>2003</v>
          </cell>
          <cell r="C871">
            <v>1</v>
          </cell>
          <cell r="D871" t="str">
            <v>Production</v>
          </cell>
          <cell r="E871" t="str">
            <v>Oil</v>
          </cell>
          <cell r="F871" t="str">
            <v>Conventional</v>
          </cell>
          <cell r="G871">
            <v>0</v>
          </cell>
          <cell r="H871" t="str">
            <v>Production;Oil;Conventional</v>
          </cell>
          <cell r="I871" t="str">
            <v>Oil;Conventional;0;13</v>
          </cell>
          <cell r="J871" t="str">
            <v>SK</v>
          </cell>
          <cell r="K871" t="str">
            <v>Deep</v>
          </cell>
          <cell r="L871">
            <v>20</v>
          </cell>
          <cell r="M871">
            <v>336</v>
          </cell>
        </row>
        <row r="872">
          <cell r="A872">
            <v>13</v>
          </cell>
          <cell r="B872">
            <v>2003</v>
          </cell>
          <cell r="C872">
            <v>1</v>
          </cell>
          <cell r="D872" t="str">
            <v>Production</v>
          </cell>
          <cell r="E872" t="str">
            <v>Oil</v>
          </cell>
          <cell r="F872" t="str">
            <v>Conventional</v>
          </cell>
          <cell r="G872">
            <v>0</v>
          </cell>
          <cell r="H872" t="str">
            <v>Production;Oil;Conventional</v>
          </cell>
          <cell r="I872" t="str">
            <v>Oil;Conventional;0;13</v>
          </cell>
          <cell r="J872" t="str">
            <v>SK</v>
          </cell>
          <cell r="K872" t="str">
            <v>Medium</v>
          </cell>
          <cell r="L872">
            <v>404</v>
          </cell>
          <cell r="M872">
            <v>3952</v>
          </cell>
        </row>
        <row r="873">
          <cell r="A873">
            <v>13</v>
          </cell>
          <cell r="B873">
            <v>2003</v>
          </cell>
          <cell r="C873">
            <v>1</v>
          </cell>
          <cell r="D873" t="str">
            <v>Production</v>
          </cell>
          <cell r="E873" t="str">
            <v>Oil</v>
          </cell>
          <cell r="F873" t="str">
            <v>Conventional</v>
          </cell>
          <cell r="G873">
            <v>0</v>
          </cell>
          <cell r="H873" t="str">
            <v>Production;Oil;Conventional</v>
          </cell>
          <cell r="I873" t="str">
            <v>Oil;Conventional;0;13</v>
          </cell>
          <cell r="J873" t="str">
            <v>SK</v>
          </cell>
          <cell r="K873" t="str">
            <v>Shallow</v>
          </cell>
          <cell r="L873">
            <v>50</v>
          </cell>
          <cell r="M873">
            <v>273</v>
          </cell>
        </row>
        <row r="874">
          <cell r="A874">
            <v>13</v>
          </cell>
          <cell r="B874">
            <v>2003</v>
          </cell>
          <cell r="C874">
            <v>2</v>
          </cell>
          <cell r="D874" t="str">
            <v>Production</v>
          </cell>
          <cell r="E874" t="str">
            <v>Oil</v>
          </cell>
          <cell r="F874" t="str">
            <v>Conventional</v>
          </cell>
          <cell r="G874">
            <v>0</v>
          </cell>
          <cell r="H874" t="str">
            <v>Production;Oil;Conventional</v>
          </cell>
          <cell r="I874" t="str">
            <v>Oil;Conventional;0;13</v>
          </cell>
          <cell r="J874" t="str">
            <v>SK</v>
          </cell>
          <cell r="K874" t="str">
            <v>Deep</v>
          </cell>
          <cell r="L874">
            <v>1</v>
          </cell>
          <cell r="M874">
            <v>8</v>
          </cell>
        </row>
        <row r="875">
          <cell r="A875">
            <v>13</v>
          </cell>
          <cell r="B875">
            <v>2003</v>
          </cell>
          <cell r="C875">
            <v>2</v>
          </cell>
          <cell r="D875" t="str">
            <v>Production</v>
          </cell>
          <cell r="E875" t="str">
            <v>Oil</v>
          </cell>
          <cell r="F875" t="str">
            <v>Conventional</v>
          </cell>
          <cell r="G875">
            <v>0</v>
          </cell>
          <cell r="H875" t="str">
            <v>Production;Oil;Conventional</v>
          </cell>
          <cell r="I875" t="str">
            <v>Oil;Conventional;0;13</v>
          </cell>
          <cell r="J875" t="str">
            <v>SK</v>
          </cell>
          <cell r="K875" t="str">
            <v>Medium</v>
          </cell>
          <cell r="L875">
            <v>29</v>
          </cell>
          <cell r="M875">
            <v>137</v>
          </cell>
        </row>
        <row r="876">
          <cell r="A876">
            <v>13</v>
          </cell>
          <cell r="B876">
            <v>2003</v>
          </cell>
          <cell r="C876">
            <v>2</v>
          </cell>
          <cell r="D876" t="str">
            <v>Production</v>
          </cell>
          <cell r="E876" t="str">
            <v>Oil</v>
          </cell>
          <cell r="F876" t="str">
            <v>Conventional</v>
          </cell>
          <cell r="G876">
            <v>0</v>
          </cell>
          <cell r="H876" t="str">
            <v>Production;Oil;Conventional</v>
          </cell>
          <cell r="I876" t="str">
            <v>Oil;Conventional;0;13</v>
          </cell>
          <cell r="J876" t="str">
            <v>SK</v>
          </cell>
          <cell r="K876" t="str">
            <v>Shallow</v>
          </cell>
          <cell r="L876">
            <v>2</v>
          </cell>
          <cell r="M876">
            <v>7</v>
          </cell>
        </row>
        <row r="877">
          <cell r="A877">
            <v>13</v>
          </cell>
          <cell r="B877">
            <v>2003</v>
          </cell>
          <cell r="C877">
            <v>3</v>
          </cell>
          <cell r="D877" t="str">
            <v>Production</v>
          </cell>
          <cell r="E877" t="str">
            <v>Oil</v>
          </cell>
          <cell r="F877" t="str">
            <v>Conventional</v>
          </cell>
          <cell r="G877">
            <v>0</v>
          </cell>
          <cell r="H877" t="str">
            <v>Production;Oil;Conventional</v>
          </cell>
          <cell r="I877" t="str">
            <v>Oil;Conventional;0;13</v>
          </cell>
          <cell r="J877" t="str">
            <v>SK</v>
          </cell>
          <cell r="K877" t="str">
            <v>Medium</v>
          </cell>
          <cell r="L877">
            <v>2</v>
          </cell>
          <cell r="M877">
            <v>17</v>
          </cell>
        </row>
        <row r="878">
          <cell r="A878">
            <v>13</v>
          </cell>
          <cell r="B878">
            <v>2004</v>
          </cell>
          <cell r="C878">
            <v>1</v>
          </cell>
          <cell r="D878" t="str">
            <v>Production</v>
          </cell>
          <cell r="E878" t="str">
            <v>Oil</v>
          </cell>
          <cell r="F878" t="str">
            <v>Conventional</v>
          </cell>
          <cell r="G878">
            <v>0</v>
          </cell>
          <cell r="H878" t="str">
            <v>Production;Oil;Conventional</v>
          </cell>
          <cell r="I878" t="str">
            <v>Oil;Conventional;0;13</v>
          </cell>
          <cell r="J878" t="str">
            <v>SK</v>
          </cell>
          <cell r="K878" t="str">
            <v>Deep</v>
          </cell>
          <cell r="L878">
            <v>24</v>
          </cell>
          <cell r="M878">
            <v>334</v>
          </cell>
        </row>
        <row r="879">
          <cell r="A879">
            <v>13</v>
          </cell>
          <cell r="B879">
            <v>2004</v>
          </cell>
          <cell r="C879">
            <v>1</v>
          </cell>
          <cell r="D879" t="str">
            <v>Production</v>
          </cell>
          <cell r="E879" t="str">
            <v>Oil</v>
          </cell>
          <cell r="F879" t="str">
            <v>Conventional</v>
          </cell>
          <cell r="G879">
            <v>0</v>
          </cell>
          <cell r="H879" t="str">
            <v>Production;Oil;Conventional</v>
          </cell>
          <cell r="I879" t="str">
            <v>Oil;Conventional;0;13</v>
          </cell>
          <cell r="J879" t="str">
            <v>SK</v>
          </cell>
          <cell r="K879" t="str">
            <v>Medium</v>
          </cell>
          <cell r="L879">
            <v>462</v>
          </cell>
          <cell r="M879">
            <v>4515</v>
          </cell>
        </row>
        <row r="880">
          <cell r="A880">
            <v>13</v>
          </cell>
          <cell r="B880">
            <v>2004</v>
          </cell>
          <cell r="C880">
            <v>1</v>
          </cell>
          <cell r="D880" t="str">
            <v>Production</v>
          </cell>
          <cell r="E880" t="str">
            <v>Oil</v>
          </cell>
          <cell r="F880" t="str">
            <v>Conventional</v>
          </cell>
          <cell r="G880">
            <v>0</v>
          </cell>
          <cell r="H880" t="str">
            <v>Production;Oil;Conventional</v>
          </cell>
          <cell r="I880" t="str">
            <v>Oil;Conventional;0;13</v>
          </cell>
          <cell r="J880" t="str">
            <v>SK</v>
          </cell>
          <cell r="K880" t="str">
            <v>Shallow</v>
          </cell>
          <cell r="L880">
            <v>42</v>
          </cell>
          <cell r="M880">
            <v>297</v>
          </cell>
        </row>
        <row r="881">
          <cell r="A881">
            <v>13</v>
          </cell>
          <cell r="B881">
            <v>2004</v>
          </cell>
          <cell r="C881">
            <v>2</v>
          </cell>
          <cell r="D881" t="str">
            <v>Production</v>
          </cell>
          <cell r="E881" t="str">
            <v>Oil</v>
          </cell>
          <cell r="F881" t="str">
            <v>Conventional</v>
          </cell>
          <cell r="G881">
            <v>0</v>
          </cell>
          <cell r="H881" t="str">
            <v>Production;Oil;Conventional</v>
          </cell>
          <cell r="I881" t="str">
            <v>Oil;Conventional;0;13</v>
          </cell>
          <cell r="J881" t="str">
            <v>SK</v>
          </cell>
          <cell r="K881" t="str">
            <v>Deep</v>
          </cell>
          <cell r="L881">
            <v>2</v>
          </cell>
          <cell r="M881">
            <v>16</v>
          </cell>
        </row>
        <row r="882">
          <cell r="A882">
            <v>13</v>
          </cell>
          <cell r="B882">
            <v>2004</v>
          </cell>
          <cell r="C882">
            <v>2</v>
          </cell>
          <cell r="D882" t="str">
            <v>Production</v>
          </cell>
          <cell r="E882" t="str">
            <v>Oil</v>
          </cell>
          <cell r="F882" t="str">
            <v>Conventional</v>
          </cell>
          <cell r="G882">
            <v>0</v>
          </cell>
          <cell r="H882" t="str">
            <v>Production;Oil;Conventional</v>
          </cell>
          <cell r="I882" t="str">
            <v>Oil;Conventional;0;13</v>
          </cell>
          <cell r="J882" t="str">
            <v>SK</v>
          </cell>
          <cell r="K882" t="str">
            <v>Medium</v>
          </cell>
          <cell r="L882">
            <v>30</v>
          </cell>
          <cell r="M882">
            <v>153</v>
          </cell>
        </row>
        <row r="883">
          <cell r="A883">
            <v>13</v>
          </cell>
          <cell r="B883">
            <v>2004</v>
          </cell>
          <cell r="C883">
            <v>3</v>
          </cell>
          <cell r="D883" t="str">
            <v>Production</v>
          </cell>
          <cell r="E883" t="str">
            <v>Oil</v>
          </cell>
          <cell r="F883" t="str">
            <v>Conventional</v>
          </cell>
          <cell r="G883">
            <v>0</v>
          </cell>
          <cell r="H883" t="str">
            <v>Production;Oil;Conventional</v>
          </cell>
          <cell r="I883" t="str">
            <v>Oil;Conventional;0;13</v>
          </cell>
          <cell r="J883" t="str">
            <v>SK</v>
          </cell>
          <cell r="K883" t="str">
            <v>Medium</v>
          </cell>
          <cell r="L883">
            <v>2</v>
          </cell>
          <cell r="M883">
            <v>7</v>
          </cell>
        </row>
        <row r="884">
          <cell r="A884">
            <v>13</v>
          </cell>
          <cell r="B884">
            <v>2005</v>
          </cell>
          <cell r="C884">
            <v>1</v>
          </cell>
          <cell r="D884" t="str">
            <v>Production</v>
          </cell>
          <cell r="E884" t="str">
            <v>Oil</v>
          </cell>
          <cell r="F884" t="str">
            <v>Conventional</v>
          </cell>
          <cell r="G884">
            <v>0</v>
          </cell>
          <cell r="H884" t="str">
            <v>Production;Oil;Conventional</v>
          </cell>
          <cell r="I884" t="str">
            <v>Oil;Conventional;0;13</v>
          </cell>
          <cell r="J884" t="str">
            <v>SK</v>
          </cell>
          <cell r="K884" t="str">
            <v>Deep</v>
          </cell>
          <cell r="L884">
            <v>62</v>
          </cell>
          <cell r="M884">
            <v>845.5</v>
          </cell>
        </row>
        <row r="885">
          <cell r="A885">
            <v>13</v>
          </cell>
          <cell r="B885">
            <v>2005</v>
          </cell>
          <cell r="C885">
            <v>1</v>
          </cell>
          <cell r="D885" t="str">
            <v>Production</v>
          </cell>
          <cell r="E885" t="str">
            <v>Oil</v>
          </cell>
          <cell r="F885" t="str">
            <v>Conventional</v>
          </cell>
          <cell r="G885">
            <v>0</v>
          </cell>
          <cell r="H885" t="str">
            <v>Production;Oil;Conventional</v>
          </cell>
          <cell r="I885" t="str">
            <v>Oil;Conventional;0;13</v>
          </cell>
          <cell r="J885" t="str">
            <v>SK</v>
          </cell>
          <cell r="K885" t="str">
            <v>Medium</v>
          </cell>
          <cell r="L885">
            <v>638</v>
          </cell>
          <cell r="M885">
            <v>7011</v>
          </cell>
        </row>
        <row r="886">
          <cell r="A886">
            <v>13</v>
          </cell>
          <cell r="B886">
            <v>2005</v>
          </cell>
          <cell r="C886">
            <v>1</v>
          </cell>
          <cell r="D886" t="str">
            <v>Production</v>
          </cell>
          <cell r="E886" t="str">
            <v>Oil</v>
          </cell>
          <cell r="F886" t="str">
            <v>Conventional</v>
          </cell>
          <cell r="G886">
            <v>0</v>
          </cell>
          <cell r="H886" t="str">
            <v>Production;Oil;Conventional</v>
          </cell>
          <cell r="I886" t="str">
            <v>Oil;Conventional;0;13</v>
          </cell>
          <cell r="J886" t="str">
            <v>SK</v>
          </cell>
          <cell r="K886" t="str">
            <v>Shallow</v>
          </cell>
          <cell r="L886">
            <v>46</v>
          </cell>
          <cell r="M886">
            <v>290</v>
          </cell>
        </row>
        <row r="887">
          <cell r="A887">
            <v>13</v>
          </cell>
          <cell r="B887">
            <v>2005</v>
          </cell>
          <cell r="C887">
            <v>2</v>
          </cell>
          <cell r="D887" t="str">
            <v>Production</v>
          </cell>
          <cell r="E887" t="str">
            <v>Oil</v>
          </cell>
          <cell r="F887" t="str">
            <v>Conventional</v>
          </cell>
          <cell r="G887">
            <v>0</v>
          </cell>
          <cell r="H887" t="str">
            <v>Production;Oil;Conventional</v>
          </cell>
          <cell r="I887" t="str">
            <v>Oil;Conventional;0;13</v>
          </cell>
          <cell r="J887" t="str">
            <v>SK</v>
          </cell>
          <cell r="K887" t="str">
            <v>Deep</v>
          </cell>
          <cell r="L887">
            <v>2</v>
          </cell>
          <cell r="M887">
            <v>9</v>
          </cell>
        </row>
        <row r="888">
          <cell r="A888">
            <v>13</v>
          </cell>
          <cell r="B888">
            <v>2005</v>
          </cell>
          <cell r="C888">
            <v>2</v>
          </cell>
          <cell r="D888" t="str">
            <v>Production</v>
          </cell>
          <cell r="E888" t="str">
            <v>Oil</v>
          </cell>
          <cell r="F888" t="str">
            <v>Conventional</v>
          </cell>
          <cell r="G888">
            <v>0</v>
          </cell>
          <cell r="H888" t="str">
            <v>Production;Oil;Conventional</v>
          </cell>
          <cell r="I888" t="str">
            <v>Oil;Conventional;0;13</v>
          </cell>
          <cell r="J888" t="str">
            <v>SK</v>
          </cell>
          <cell r="K888" t="str">
            <v>Medium</v>
          </cell>
          <cell r="L888">
            <v>29</v>
          </cell>
          <cell r="M888">
            <v>169</v>
          </cell>
        </row>
        <row r="889">
          <cell r="A889">
            <v>13</v>
          </cell>
          <cell r="B889">
            <v>2005</v>
          </cell>
          <cell r="C889">
            <v>3</v>
          </cell>
          <cell r="D889" t="str">
            <v>Production</v>
          </cell>
          <cell r="E889" t="str">
            <v>Oil</v>
          </cell>
          <cell r="F889" t="str">
            <v>Conventional</v>
          </cell>
          <cell r="G889">
            <v>0</v>
          </cell>
          <cell r="H889" t="str">
            <v>Production;Oil;Conventional</v>
          </cell>
          <cell r="I889" t="str">
            <v>Oil;Conventional;0;13</v>
          </cell>
          <cell r="J889" t="str">
            <v>SK</v>
          </cell>
          <cell r="K889" t="str">
            <v>Medium</v>
          </cell>
          <cell r="L889">
            <v>1</v>
          </cell>
          <cell r="M889">
            <v>7</v>
          </cell>
        </row>
        <row r="890">
          <cell r="A890">
            <v>13</v>
          </cell>
          <cell r="B890">
            <v>2006</v>
          </cell>
          <cell r="C890">
            <v>1</v>
          </cell>
          <cell r="D890" t="str">
            <v>Production</v>
          </cell>
          <cell r="E890" t="str">
            <v>Oil</v>
          </cell>
          <cell r="F890" t="str">
            <v>Conventional</v>
          </cell>
          <cell r="G890">
            <v>0</v>
          </cell>
          <cell r="H890" t="str">
            <v>Production;Oil;Conventional</v>
          </cell>
          <cell r="I890" t="str">
            <v>Oil;Conventional;0;13</v>
          </cell>
          <cell r="J890" t="str">
            <v>SK</v>
          </cell>
          <cell r="K890" t="str">
            <v>Deep</v>
          </cell>
          <cell r="L890">
            <v>155</v>
          </cell>
          <cell r="M890">
            <v>1794</v>
          </cell>
        </row>
        <row r="891">
          <cell r="A891">
            <v>13</v>
          </cell>
          <cell r="B891">
            <v>2006</v>
          </cell>
          <cell r="C891">
            <v>1</v>
          </cell>
          <cell r="D891" t="str">
            <v>Production</v>
          </cell>
          <cell r="E891" t="str">
            <v>Oil</v>
          </cell>
          <cell r="F891" t="str">
            <v>Conventional</v>
          </cell>
          <cell r="G891">
            <v>0</v>
          </cell>
          <cell r="H891" t="str">
            <v>Production;Oil;Conventional</v>
          </cell>
          <cell r="I891" t="str">
            <v>Oil;Conventional;0;13</v>
          </cell>
          <cell r="J891" t="str">
            <v>SK</v>
          </cell>
          <cell r="K891" t="str">
            <v>Medium</v>
          </cell>
          <cell r="L891">
            <v>701</v>
          </cell>
          <cell r="M891">
            <v>7256.5</v>
          </cell>
        </row>
        <row r="892">
          <cell r="A892">
            <v>13</v>
          </cell>
          <cell r="B892">
            <v>2006</v>
          </cell>
          <cell r="C892">
            <v>1</v>
          </cell>
          <cell r="D892" t="str">
            <v>Production</v>
          </cell>
          <cell r="E892" t="str">
            <v>Oil</v>
          </cell>
          <cell r="F892" t="str">
            <v>Conventional</v>
          </cell>
          <cell r="G892">
            <v>0</v>
          </cell>
          <cell r="H892" t="str">
            <v>Production;Oil;Conventional</v>
          </cell>
          <cell r="I892" t="str">
            <v>Oil;Conventional;0;13</v>
          </cell>
          <cell r="J892" t="str">
            <v>SK</v>
          </cell>
          <cell r="K892" t="str">
            <v>Shallow</v>
          </cell>
          <cell r="L892">
            <v>89</v>
          </cell>
          <cell r="M892">
            <v>539.66666659999999</v>
          </cell>
        </row>
        <row r="893">
          <cell r="A893">
            <v>13</v>
          </cell>
          <cell r="B893">
            <v>2006</v>
          </cell>
          <cell r="C893">
            <v>2</v>
          </cell>
          <cell r="D893" t="str">
            <v>Production</v>
          </cell>
          <cell r="E893" t="str">
            <v>Oil</v>
          </cell>
          <cell r="F893" t="str">
            <v>Conventional</v>
          </cell>
          <cell r="G893">
            <v>0</v>
          </cell>
          <cell r="H893" t="str">
            <v>Production;Oil;Conventional</v>
          </cell>
          <cell r="I893" t="str">
            <v>Oil;Conventional;0;13</v>
          </cell>
          <cell r="J893" t="str">
            <v>SK</v>
          </cell>
          <cell r="K893" t="str">
            <v>Deep</v>
          </cell>
          <cell r="L893">
            <v>6</v>
          </cell>
          <cell r="M893">
            <v>288.5</v>
          </cell>
        </row>
        <row r="894">
          <cell r="A894">
            <v>13</v>
          </cell>
          <cell r="B894">
            <v>2006</v>
          </cell>
          <cell r="C894">
            <v>2</v>
          </cell>
          <cell r="D894" t="str">
            <v>Production</v>
          </cell>
          <cell r="E894" t="str">
            <v>Oil</v>
          </cell>
          <cell r="F894" t="str">
            <v>Conventional</v>
          </cell>
          <cell r="G894">
            <v>0</v>
          </cell>
          <cell r="H894" t="str">
            <v>Production;Oil;Conventional</v>
          </cell>
          <cell r="I894" t="str">
            <v>Oil;Conventional;0;13</v>
          </cell>
          <cell r="J894" t="str">
            <v>SK</v>
          </cell>
          <cell r="K894" t="str">
            <v>Medium</v>
          </cell>
          <cell r="L894">
            <v>21</v>
          </cell>
          <cell r="M894">
            <v>91</v>
          </cell>
        </row>
        <row r="895">
          <cell r="A895">
            <v>13</v>
          </cell>
          <cell r="B895">
            <v>2006</v>
          </cell>
          <cell r="C895">
            <v>2</v>
          </cell>
          <cell r="D895" t="str">
            <v>Production</v>
          </cell>
          <cell r="E895" t="str">
            <v>Oil</v>
          </cell>
          <cell r="F895" t="str">
            <v>Conventional</v>
          </cell>
          <cell r="G895">
            <v>0</v>
          </cell>
          <cell r="H895" t="str">
            <v>Production;Oil;Conventional</v>
          </cell>
          <cell r="I895" t="str">
            <v>Oil;Conventional;0;13</v>
          </cell>
          <cell r="J895" t="str">
            <v>SK</v>
          </cell>
          <cell r="K895" t="str">
            <v>Shallow</v>
          </cell>
          <cell r="L895">
            <v>2</v>
          </cell>
          <cell r="M895">
            <v>10</v>
          </cell>
        </row>
        <row r="896">
          <cell r="A896">
            <v>13</v>
          </cell>
          <cell r="B896">
            <v>2006</v>
          </cell>
          <cell r="C896">
            <v>3</v>
          </cell>
          <cell r="D896" t="str">
            <v>Production</v>
          </cell>
          <cell r="E896" t="str">
            <v>Oil</v>
          </cell>
          <cell r="F896" t="str">
            <v>Conventional</v>
          </cell>
          <cell r="G896">
            <v>0</v>
          </cell>
          <cell r="H896" t="str">
            <v>Production;Oil;Conventional</v>
          </cell>
          <cell r="I896" t="str">
            <v>Oil;Conventional;0;13</v>
          </cell>
          <cell r="J896" t="str">
            <v>SK</v>
          </cell>
          <cell r="K896" t="str">
            <v>Medium</v>
          </cell>
          <cell r="L896">
            <v>1</v>
          </cell>
          <cell r="M896">
            <v>13</v>
          </cell>
        </row>
        <row r="897">
          <cell r="A897">
            <v>13</v>
          </cell>
          <cell r="B897">
            <v>2007</v>
          </cell>
          <cell r="C897">
            <v>1</v>
          </cell>
          <cell r="D897" t="str">
            <v>Production</v>
          </cell>
          <cell r="E897" t="str">
            <v>Oil</v>
          </cell>
          <cell r="F897" t="str">
            <v>Conventional</v>
          </cell>
          <cell r="G897">
            <v>0</v>
          </cell>
          <cell r="H897" t="str">
            <v>Production;Oil;Conventional</v>
          </cell>
          <cell r="I897" t="str">
            <v>Oil;Conventional;0;13</v>
          </cell>
          <cell r="J897" t="str">
            <v>SK</v>
          </cell>
          <cell r="K897" t="str">
            <v>Deep</v>
          </cell>
          <cell r="L897">
            <v>47</v>
          </cell>
          <cell r="M897">
            <v>552</v>
          </cell>
        </row>
        <row r="898">
          <cell r="A898">
            <v>13</v>
          </cell>
          <cell r="B898">
            <v>2007</v>
          </cell>
          <cell r="C898">
            <v>1</v>
          </cell>
          <cell r="D898" t="str">
            <v>Production</v>
          </cell>
          <cell r="E898" t="str">
            <v>Oil</v>
          </cell>
          <cell r="F898" t="str">
            <v>Conventional</v>
          </cell>
          <cell r="G898">
            <v>0</v>
          </cell>
          <cell r="H898" t="str">
            <v>Production;Oil;Conventional</v>
          </cell>
          <cell r="I898" t="str">
            <v>Oil;Conventional;0;13</v>
          </cell>
          <cell r="J898" t="str">
            <v>SK</v>
          </cell>
          <cell r="K898" t="str">
            <v>Medium</v>
          </cell>
          <cell r="L898">
            <v>195</v>
          </cell>
          <cell r="M898">
            <v>1981</v>
          </cell>
        </row>
        <row r="899">
          <cell r="A899">
            <v>13</v>
          </cell>
          <cell r="B899">
            <v>2007</v>
          </cell>
          <cell r="C899">
            <v>1</v>
          </cell>
          <cell r="D899" t="str">
            <v>Production</v>
          </cell>
          <cell r="E899" t="str">
            <v>Oil</v>
          </cell>
          <cell r="F899" t="str">
            <v>Conventional</v>
          </cell>
          <cell r="G899">
            <v>0</v>
          </cell>
          <cell r="H899" t="str">
            <v>Production;Oil;Conventional</v>
          </cell>
          <cell r="I899" t="str">
            <v>Oil;Conventional;0;13</v>
          </cell>
          <cell r="J899" t="str">
            <v>SK</v>
          </cell>
          <cell r="K899" t="str">
            <v>Shallow</v>
          </cell>
          <cell r="L899">
            <v>7</v>
          </cell>
          <cell r="M899">
            <v>49</v>
          </cell>
        </row>
        <row r="900">
          <cell r="A900">
            <v>13</v>
          </cell>
          <cell r="B900">
            <v>2007</v>
          </cell>
          <cell r="C900">
            <v>2</v>
          </cell>
          <cell r="D900" t="str">
            <v>Production</v>
          </cell>
          <cell r="E900" t="str">
            <v>Oil</v>
          </cell>
          <cell r="F900" t="str">
            <v>Conventional</v>
          </cell>
          <cell r="G900">
            <v>0</v>
          </cell>
          <cell r="H900" t="str">
            <v>Production;Oil;Conventional</v>
          </cell>
          <cell r="I900" t="str">
            <v>Oil;Conventional;0;13</v>
          </cell>
          <cell r="J900" t="str">
            <v>SK</v>
          </cell>
          <cell r="K900" t="str">
            <v>Deep</v>
          </cell>
          <cell r="L900">
            <v>1</v>
          </cell>
          <cell r="M900">
            <v>10</v>
          </cell>
        </row>
        <row r="901">
          <cell r="A901">
            <v>13</v>
          </cell>
          <cell r="B901">
            <v>2007</v>
          </cell>
          <cell r="C901">
            <v>2</v>
          </cell>
          <cell r="D901" t="str">
            <v>Production</v>
          </cell>
          <cell r="E901" t="str">
            <v>Oil</v>
          </cell>
          <cell r="F901" t="str">
            <v>Conventional</v>
          </cell>
          <cell r="G901">
            <v>0</v>
          </cell>
          <cell r="H901" t="str">
            <v>Production;Oil;Conventional</v>
          </cell>
          <cell r="I901" t="str">
            <v>Oil;Conventional;0;13</v>
          </cell>
          <cell r="J901" t="str">
            <v>SK</v>
          </cell>
          <cell r="K901" t="str">
            <v>Medium</v>
          </cell>
          <cell r="L901">
            <v>6</v>
          </cell>
          <cell r="M901">
            <v>48</v>
          </cell>
        </row>
        <row r="902">
          <cell r="A902">
            <v>1</v>
          </cell>
          <cell r="B902">
            <v>2004</v>
          </cell>
          <cell r="C902">
            <v>1</v>
          </cell>
          <cell r="D902" t="str">
            <v>Production</v>
          </cell>
          <cell r="E902" t="str">
            <v>Oil</v>
          </cell>
          <cell r="F902" t="str">
            <v>Oil Sands</v>
          </cell>
          <cell r="G902">
            <v>0</v>
          </cell>
          <cell r="H902" t="str">
            <v>Production;Oil;Oil Sands</v>
          </cell>
          <cell r="I902" t="str">
            <v>Oil;Oil Sands;0;1</v>
          </cell>
          <cell r="J902" t="str">
            <v>AB</v>
          </cell>
          <cell r="K902" t="str">
            <v>Deep</v>
          </cell>
          <cell r="L902">
            <v>2</v>
          </cell>
          <cell r="M902">
            <v>193</v>
          </cell>
        </row>
        <row r="903">
          <cell r="A903">
            <v>1</v>
          </cell>
          <cell r="B903">
            <v>2005</v>
          </cell>
          <cell r="C903">
            <v>1</v>
          </cell>
          <cell r="D903" t="str">
            <v>Production</v>
          </cell>
          <cell r="E903" t="str">
            <v>Oil</v>
          </cell>
          <cell r="F903" t="str">
            <v>Oil Sands</v>
          </cell>
          <cell r="G903">
            <v>0</v>
          </cell>
          <cell r="H903" t="str">
            <v>Production;Oil;Oil Sands</v>
          </cell>
          <cell r="I903" t="str">
            <v>Oil;Oil Sands;0;1</v>
          </cell>
          <cell r="J903" t="str">
            <v>AB</v>
          </cell>
          <cell r="K903" t="str">
            <v>Deep</v>
          </cell>
          <cell r="L903">
            <v>1</v>
          </cell>
          <cell r="M903">
            <v>49</v>
          </cell>
        </row>
        <row r="904">
          <cell r="A904">
            <v>1</v>
          </cell>
          <cell r="B904">
            <v>2005</v>
          </cell>
          <cell r="C904">
            <v>2</v>
          </cell>
          <cell r="D904" t="str">
            <v>Production</v>
          </cell>
          <cell r="E904" t="str">
            <v>Oil</v>
          </cell>
          <cell r="F904" t="str">
            <v>Oil Sands</v>
          </cell>
          <cell r="G904">
            <v>0</v>
          </cell>
          <cell r="H904" t="str">
            <v>Production;Oil;Oil Sands</v>
          </cell>
          <cell r="I904" t="str">
            <v>Oil;Oil Sands;0;1</v>
          </cell>
          <cell r="J904" t="str">
            <v>AB</v>
          </cell>
          <cell r="K904" t="str">
            <v>MEDIUM</v>
          </cell>
          <cell r="L904">
            <v>1</v>
          </cell>
          <cell r="M904">
            <v>33</v>
          </cell>
        </row>
        <row r="905">
          <cell r="A905">
            <v>1</v>
          </cell>
          <cell r="B905">
            <v>2006</v>
          </cell>
          <cell r="C905">
            <v>1</v>
          </cell>
          <cell r="D905" t="str">
            <v>Production</v>
          </cell>
          <cell r="E905" t="str">
            <v>Oil</v>
          </cell>
          <cell r="F905" t="str">
            <v>Oil Sands</v>
          </cell>
          <cell r="G905">
            <v>0</v>
          </cell>
          <cell r="H905" t="str">
            <v>Production;Oil;Oil Sands</v>
          </cell>
          <cell r="I905" t="str">
            <v>Oil;Oil Sands;0;1</v>
          </cell>
          <cell r="J905" t="str">
            <v>AB</v>
          </cell>
          <cell r="K905" t="str">
            <v>Deep</v>
          </cell>
          <cell r="L905">
            <v>2</v>
          </cell>
          <cell r="M905">
            <v>328</v>
          </cell>
        </row>
        <row r="906">
          <cell r="A906">
            <v>1</v>
          </cell>
          <cell r="B906">
            <v>2006</v>
          </cell>
          <cell r="C906">
            <v>1</v>
          </cell>
          <cell r="D906" t="str">
            <v>Production</v>
          </cell>
          <cell r="E906" t="str">
            <v>Oil</v>
          </cell>
          <cell r="F906" t="str">
            <v>Oil Sands</v>
          </cell>
          <cell r="G906">
            <v>0</v>
          </cell>
          <cell r="H906" t="str">
            <v>Production;Oil;Oil Sands</v>
          </cell>
          <cell r="I906" t="str">
            <v>Oil;Oil Sands;0;1</v>
          </cell>
          <cell r="J906" t="str">
            <v>AB</v>
          </cell>
          <cell r="K906" t="str">
            <v>MEDIUM</v>
          </cell>
          <cell r="L906">
            <v>1</v>
          </cell>
          <cell r="M906">
            <v>55</v>
          </cell>
        </row>
        <row r="907">
          <cell r="A907">
            <v>1</v>
          </cell>
          <cell r="B907">
            <v>2006</v>
          </cell>
          <cell r="C907">
            <v>2</v>
          </cell>
          <cell r="D907" t="str">
            <v>Production</v>
          </cell>
          <cell r="E907" t="str">
            <v>Oil</v>
          </cell>
          <cell r="F907" t="str">
            <v>Oil Sands</v>
          </cell>
          <cell r="G907">
            <v>0</v>
          </cell>
          <cell r="H907" t="str">
            <v>Production;Oil;Oil Sands</v>
          </cell>
          <cell r="I907" t="str">
            <v>Oil;Oil Sands;0;1</v>
          </cell>
          <cell r="J907" t="str">
            <v>AB</v>
          </cell>
          <cell r="K907" t="str">
            <v>Deep</v>
          </cell>
          <cell r="L907">
            <v>1</v>
          </cell>
          <cell r="M907">
            <v>72</v>
          </cell>
        </row>
        <row r="908">
          <cell r="A908">
            <v>2</v>
          </cell>
          <cell r="B908">
            <v>2000</v>
          </cell>
          <cell r="C908">
            <v>1</v>
          </cell>
          <cell r="D908" t="str">
            <v>Production</v>
          </cell>
          <cell r="E908" t="str">
            <v>Oil</v>
          </cell>
          <cell r="F908" t="str">
            <v>Oil Sands</v>
          </cell>
          <cell r="G908">
            <v>0</v>
          </cell>
          <cell r="H908" t="str">
            <v>Production;Oil;Oil Sands</v>
          </cell>
          <cell r="I908" t="str">
            <v>Oil;Oil Sands;0;2</v>
          </cell>
          <cell r="J908" t="str">
            <v>AB</v>
          </cell>
          <cell r="K908" t="str">
            <v>Deep</v>
          </cell>
          <cell r="L908">
            <v>5</v>
          </cell>
          <cell r="M908">
            <v>205</v>
          </cell>
        </row>
        <row r="909">
          <cell r="A909">
            <v>2</v>
          </cell>
          <cell r="B909">
            <v>2000</v>
          </cell>
          <cell r="C909">
            <v>2</v>
          </cell>
          <cell r="D909" t="str">
            <v>Production</v>
          </cell>
          <cell r="E909" t="str">
            <v>Oil</v>
          </cell>
          <cell r="F909" t="str">
            <v>Oil Sands</v>
          </cell>
          <cell r="G909">
            <v>0</v>
          </cell>
          <cell r="H909" t="str">
            <v>Production;Oil;Oil Sands</v>
          </cell>
          <cell r="I909" t="str">
            <v>Oil;Oil Sands;0;2</v>
          </cell>
          <cell r="J909" t="str">
            <v>AB</v>
          </cell>
          <cell r="K909" t="str">
            <v>Deep</v>
          </cell>
          <cell r="L909">
            <v>1</v>
          </cell>
          <cell r="M909">
            <v>7</v>
          </cell>
        </row>
        <row r="910">
          <cell r="A910">
            <v>2</v>
          </cell>
          <cell r="B910">
            <v>2000</v>
          </cell>
          <cell r="C910">
            <v>2</v>
          </cell>
          <cell r="D910" t="str">
            <v>Production</v>
          </cell>
          <cell r="E910" t="str">
            <v>Oil</v>
          </cell>
          <cell r="F910" t="str">
            <v>Oil Sands</v>
          </cell>
          <cell r="G910">
            <v>0</v>
          </cell>
          <cell r="H910" t="str">
            <v>Production;Oil;Oil Sands</v>
          </cell>
          <cell r="I910" t="str">
            <v>Oil;Oil Sands;0;2</v>
          </cell>
          <cell r="J910" t="str">
            <v>AB</v>
          </cell>
          <cell r="K910" t="str">
            <v>MEDIUM</v>
          </cell>
          <cell r="L910">
            <v>2</v>
          </cell>
          <cell r="M910">
            <v>32</v>
          </cell>
        </row>
        <row r="911">
          <cell r="A911">
            <v>2</v>
          </cell>
          <cell r="B911">
            <v>2000</v>
          </cell>
          <cell r="C911">
            <v>3</v>
          </cell>
          <cell r="D911" t="str">
            <v>Production</v>
          </cell>
          <cell r="E911" t="str">
            <v>Oil</v>
          </cell>
          <cell r="F911" t="str">
            <v>Oil Sands</v>
          </cell>
          <cell r="G911">
            <v>0</v>
          </cell>
          <cell r="H911" t="str">
            <v>Production;Oil;Oil Sands</v>
          </cell>
          <cell r="I911" t="str">
            <v>Oil;Oil Sands;0;2</v>
          </cell>
          <cell r="J911" t="str">
            <v>AB</v>
          </cell>
          <cell r="K911" t="str">
            <v>Medium</v>
          </cell>
          <cell r="L911">
            <v>1</v>
          </cell>
          <cell r="M911">
            <v>1</v>
          </cell>
        </row>
        <row r="912">
          <cell r="A912">
            <v>2</v>
          </cell>
          <cell r="B912">
            <v>2002</v>
          </cell>
          <cell r="C912">
            <v>1</v>
          </cell>
          <cell r="D912" t="str">
            <v>Production</v>
          </cell>
          <cell r="E912" t="str">
            <v>Oil</v>
          </cell>
          <cell r="F912" t="str">
            <v>Oil Sands</v>
          </cell>
          <cell r="G912">
            <v>0</v>
          </cell>
          <cell r="H912" t="str">
            <v>Production;Oil;Oil Sands</v>
          </cell>
          <cell r="I912" t="str">
            <v>Oil;Oil Sands;0;2</v>
          </cell>
          <cell r="J912" t="str">
            <v>AB</v>
          </cell>
          <cell r="K912" t="str">
            <v>Deep</v>
          </cell>
          <cell r="L912">
            <v>1</v>
          </cell>
          <cell r="M912">
            <v>74</v>
          </cell>
        </row>
        <row r="913">
          <cell r="A913">
            <v>2</v>
          </cell>
          <cell r="B913">
            <v>2004</v>
          </cell>
          <cell r="C913">
            <v>2</v>
          </cell>
          <cell r="D913" t="str">
            <v>Production</v>
          </cell>
          <cell r="E913" t="str">
            <v>Oil</v>
          </cell>
          <cell r="F913" t="str">
            <v>Oil Sands</v>
          </cell>
          <cell r="G913">
            <v>0</v>
          </cell>
          <cell r="H913" t="str">
            <v>Production;Oil;Oil Sands</v>
          </cell>
          <cell r="I913" t="str">
            <v>Oil;Oil Sands;0;2</v>
          </cell>
          <cell r="J913" t="str">
            <v>AB</v>
          </cell>
          <cell r="K913" t="str">
            <v>Deep</v>
          </cell>
          <cell r="L913">
            <v>1</v>
          </cell>
          <cell r="M913">
            <v>4</v>
          </cell>
        </row>
        <row r="914">
          <cell r="A914">
            <v>2</v>
          </cell>
          <cell r="B914">
            <v>2005</v>
          </cell>
          <cell r="C914">
            <v>1</v>
          </cell>
          <cell r="D914" t="str">
            <v>Production</v>
          </cell>
          <cell r="E914" t="str">
            <v>Oil</v>
          </cell>
          <cell r="F914" t="str">
            <v>Oil Sands</v>
          </cell>
          <cell r="G914">
            <v>0</v>
          </cell>
          <cell r="H914" t="str">
            <v>Production;Oil;Oil Sands</v>
          </cell>
          <cell r="I914" t="str">
            <v>Oil;Oil Sands;0;2</v>
          </cell>
          <cell r="J914" t="str">
            <v>AB</v>
          </cell>
          <cell r="K914" t="str">
            <v>Medium</v>
          </cell>
          <cell r="L914">
            <v>1</v>
          </cell>
          <cell r="M914">
            <v>32</v>
          </cell>
        </row>
        <row r="915">
          <cell r="A915">
            <v>2</v>
          </cell>
          <cell r="B915">
            <v>2005</v>
          </cell>
          <cell r="C915">
            <v>3</v>
          </cell>
          <cell r="D915" t="str">
            <v>Production</v>
          </cell>
          <cell r="E915" t="str">
            <v>Oil</v>
          </cell>
          <cell r="F915" t="str">
            <v>Oil Sands</v>
          </cell>
          <cell r="G915">
            <v>0</v>
          </cell>
          <cell r="H915" t="str">
            <v>Production;Oil;Oil Sands</v>
          </cell>
          <cell r="I915" t="str">
            <v>Oil;Oil Sands;0;2</v>
          </cell>
          <cell r="J915" t="str">
            <v>AB</v>
          </cell>
          <cell r="K915" t="str">
            <v>MEDIUM</v>
          </cell>
          <cell r="L915">
            <v>1</v>
          </cell>
          <cell r="M915">
            <v>53</v>
          </cell>
        </row>
        <row r="916">
          <cell r="A916">
            <v>2</v>
          </cell>
          <cell r="B916">
            <v>2006</v>
          </cell>
          <cell r="C916">
            <v>2</v>
          </cell>
          <cell r="D916" t="str">
            <v>Production</v>
          </cell>
          <cell r="E916" t="str">
            <v>Oil</v>
          </cell>
          <cell r="F916" t="str">
            <v>Oil Sands</v>
          </cell>
          <cell r="G916">
            <v>0</v>
          </cell>
          <cell r="H916" t="str">
            <v>Production;Oil;Oil Sands</v>
          </cell>
          <cell r="I916" t="str">
            <v>Oil;Oil Sands;0;2</v>
          </cell>
          <cell r="J916" t="str">
            <v>AB</v>
          </cell>
          <cell r="K916" t="str">
            <v>Deep</v>
          </cell>
          <cell r="L916">
            <v>1</v>
          </cell>
          <cell r="M916">
            <v>10</v>
          </cell>
        </row>
        <row r="917">
          <cell r="A917">
            <v>2</v>
          </cell>
          <cell r="B917">
            <v>2007</v>
          </cell>
          <cell r="C917">
            <v>1</v>
          </cell>
          <cell r="D917" t="str">
            <v>Production</v>
          </cell>
          <cell r="E917" t="str">
            <v>Oil</v>
          </cell>
          <cell r="F917" t="str">
            <v>Oil Sands</v>
          </cell>
          <cell r="G917">
            <v>0</v>
          </cell>
          <cell r="H917" t="str">
            <v>Production;Oil;Oil Sands</v>
          </cell>
          <cell r="I917" t="str">
            <v>Oil;Oil Sands;0;2</v>
          </cell>
          <cell r="J917" t="str">
            <v>AB</v>
          </cell>
          <cell r="K917" t="str">
            <v>Medium</v>
          </cell>
          <cell r="L917">
            <v>1</v>
          </cell>
          <cell r="M917">
            <v>4</v>
          </cell>
        </row>
        <row r="918">
          <cell r="A918">
            <v>3</v>
          </cell>
          <cell r="B918">
            <v>2000</v>
          </cell>
          <cell r="C918">
            <v>2</v>
          </cell>
          <cell r="D918" t="str">
            <v>Production</v>
          </cell>
          <cell r="E918" t="str">
            <v>Oil</v>
          </cell>
          <cell r="F918" t="str">
            <v>Oil Sands</v>
          </cell>
          <cell r="G918">
            <v>0</v>
          </cell>
          <cell r="H918" t="str">
            <v>Production;Oil;Oil Sands</v>
          </cell>
          <cell r="I918" t="str">
            <v>Oil;Oil Sands;0;3</v>
          </cell>
          <cell r="J918" t="str">
            <v>AB</v>
          </cell>
          <cell r="K918" t="str">
            <v>Medium</v>
          </cell>
          <cell r="L918">
            <v>1</v>
          </cell>
          <cell r="M918">
            <v>4</v>
          </cell>
        </row>
        <row r="919">
          <cell r="A919">
            <v>3</v>
          </cell>
          <cell r="B919">
            <v>2002</v>
          </cell>
          <cell r="C919">
            <v>2</v>
          </cell>
          <cell r="D919" t="str">
            <v>Production</v>
          </cell>
          <cell r="E919" t="str">
            <v>Oil</v>
          </cell>
          <cell r="F919" t="str">
            <v>Oil Sands</v>
          </cell>
          <cell r="G919">
            <v>0</v>
          </cell>
          <cell r="H919" t="str">
            <v>Production;Oil;Oil Sands</v>
          </cell>
          <cell r="I919" t="str">
            <v>Oil;Oil Sands;0;3</v>
          </cell>
          <cell r="J919" t="str">
            <v>AB</v>
          </cell>
          <cell r="K919" t="str">
            <v>Medium</v>
          </cell>
          <cell r="L919">
            <v>1</v>
          </cell>
          <cell r="M919">
            <v>13</v>
          </cell>
        </row>
        <row r="920">
          <cell r="A920">
            <v>3</v>
          </cell>
          <cell r="B920">
            <v>2003</v>
          </cell>
          <cell r="C920">
            <v>1</v>
          </cell>
          <cell r="D920" t="str">
            <v>Production</v>
          </cell>
          <cell r="E920" t="str">
            <v>Oil</v>
          </cell>
          <cell r="F920" t="str">
            <v>Oil Sands</v>
          </cell>
          <cell r="G920">
            <v>0</v>
          </cell>
          <cell r="H920" t="str">
            <v>Production;Oil;Oil Sands</v>
          </cell>
          <cell r="I920" t="str">
            <v>Oil;Oil Sands;0;3</v>
          </cell>
          <cell r="J920" t="str">
            <v>AB</v>
          </cell>
          <cell r="K920" t="str">
            <v>Medium</v>
          </cell>
          <cell r="L920">
            <v>1</v>
          </cell>
          <cell r="M920">
            <v>18</v>
          </cell>
        </row>
        <row r="921">
          <cell r="A921">
            <v>3</v>
          </cell>
          <cell r="B921">
            <v>2004</v>
          </cell>
          <cell r="C921">
            <v>1</v>
          </cell>
          <cell r="D921" t="str">
            <v>Production</v>
          </cell>
          <cell r="E921" t="str">
            <v>Oil</v>
          </cell>
          <cell r="F921" t="str">
            <v>Oil Sands</v>
          </cell>
          <cell r="G921">
            <v>0</v>
          </cell>
          <cell r="H921" t="str">
            <v>Production;Oil;Oil Sands</v>
          </cell>
          <cell r="I921" t="str">
            <v>Oil;Oil Sands;0;3</v>
          </cell>
          <cell r="J921" t="str">
            <v>AB</v>
          </cell>
          <cell r="K921" t="str">
            <v>Deep</v>
          </cell>
          <cell r="L921">
            <v>1</v>
          </cell>
          <cell r="M921">
            <v>32</v>
          </cell>
        </row>
        <row r="922">
          <cell r="A922">
            <v>3</v>
          </cell>
          <cell r="B922">
            <v>2005</v>
          </cell>
          <cell r="C922">
            <v>2</v>
          </cell>
          <cell r="D922" t="str">
            <v>Production</v>
          </cell>
          <cell r="E922" t="str">
            <v>Oil</v>
          </cell>
          <cell r="F922" t="str">
            <v>Oil Sands</v>
          </cell>
          <cell r="G922">
            <v>0</v>
          </cell>
          <cell r="H922" t="str">
            <v>Production;Oil;Oil Sands</v>
          </cell>
          <cell r="I922" t="str">
            <v>Oil;Oil Sands;0;3</v>
          </cell>
          <cell r="J922" t="str">
            <v>AB</v>
          </cell>
          <cell r="K922" t="str">
            <v>Medium</v>
          </cell>
          <cell r="L922">
            <v>2</v>
          </cell>
          <cell r="M922">
            <v>7.2</v>
          </cell>
        </row>
        <row r="923">
          <cell r="A923">
            <v>3</v>
          </cell>
          <cell r="B923">
            <v>2006</v>
          </cell>
          <cell r="C923">
            <v>2</v>
          </cell>
          <cell r="D923" t="str">
            <v>Production</v>
          </cell>
          <cell r="E923" t="str">
            <v>Oil</v>
          </cell>
          <cell r="F923" t="str">
            <v>Oil Sands</v>
          </cell>
          <cell r="G923">
            <v>0</v>
          </cell>
          <cell r="H923" t="str">
            <v>Production;Oil;Oil Sands</v>
          </cell>
          <cell r="I923" t="str">
            <v>Oil;Oil Sands;0;3</v>
          </cell>
          <cell r="J923" t="str">
            <v>AB</v>
          </cell>
          <cell r="K923" t="str">
            <v>Medium</v>
          </cell>
          <cell r="L923">
            <v>2</v>
          </cell>
          <cell r="M923">
            <v>8</v>
          </cell>
        </row>
        <row r="924">
          <cell r="A924">
            <v>3</v>
          </cell>
          <cell r="B924">
            <v>2007</v>
          </cell>
          <cell r="C924">
            <v>1</v>
          </cell>
          <cell r="D924" t="str">
            <v>Production</v>
          </cell>
          <cell r="E924" t="str">
            <v>Oil</v>
          </cell>
          <cell r="F924" t="str">
            <v>Oil Sands</v>
          </cell>
          <cell r="G924">
            <v>0</v>
          </cell>
          <cell r="H924" t="str">
            <v>Production;Oil;Oil Sands</v>
          </cell>
          <cell r="I924" t="str">
            <v>Oil;Oil Sands;0;3</v>
          </cell>
          <cell r="J924" t="str">
            <v>AB</v>
          </cell>
          <cell r="K924" t="str">
            <v>Medium</v>
          </cell>
          <cell r="L924">
            <v>1</v>
          </cell>
          <cell r="M924">
            <v>20</v>
          </cell>
        </row>
        <row r="925">
          <cell r="A925">
            <v>3</v>
          </cell>
          <cell r="B925">
            <v>2007</v>
          </cell>
          <cell r="C925">
            <v>1</v>
          </cell>
          <cell r="D925" t="str">
            <v>Production</v>
          </cell>
          <cell r="E925" t="str">
            <v>Oil</v>
          </cell>
          <cell r="F925" t="str">
            <v>Oil Sands</v>
          </cell>
          <cell r="G925">
            <v>0</v>
          </cell>
          <cell r="H925" t="str">
            <v>Production;Oil;Oil Sands</v>
          </cell>
          <cell r="I925" t="str">
            <v>Oil;Oil Sands;0;3</v>
          </cell>
          <cell r="J925" t="str">
            <v>AB</v>
          </cell>
          <cell r="K925" t="str">
            <v>Shallow</v>
          </cell>
          <cell r="L925">
            <v>1</v>
          </cell>
          <cell r="M925">
            <v>28</v>
          </cell>
        </row>
        <row r="926">
          <cell r="A926">
            <v>3</v>
          </cell>
          <cell r="B926">
            <v>2007</v>
          </cell>
          <cell r="C926">
            <v>2</v>
          </cell>
          <cell r="D926" t="str">
            <v>Production</v>
          </cell>
          <cell r="E926" t="str">
            <v>Oil</v>
          </cell>
          <cell r="F926" t="str">
            <v>Oil Sands</v>
          </cell>
          <cell r="G926">
            <v>0</v>
          </cell>
          <cell r="H926" t="str">
            <v>Production;Oil;Oil Sands</v>
          </cell>
          <cell r="I926" t="str">
            <v>Oil;Oil Sands;0;3</v>
          </cell>
          <cell r="J926" t="str">
            <v>AB</v>
          </cell>
          <cell r="K926" t="str">
            <v>Medium</v>
          </cell>
          <cell r="L926">
            <v>1</v>
          </cell>
          <cell r="M926">
            <v>4</v>
          </cell>
        </row>
        <row r="927">
          <cell r="A927">
            <v>4</v>
          </cell>
          <cell r="B927">
            <v>2000</v>
          </cell>
          <cell r="C927">
            <v>1</v>
          </cell>
          <cell r="D927" t="str">
            <v>Production</v>
          </cell>
          <cell r="E927" t="str">
            <v>Oil</v>
          </cell>
          <cell r="F927" t="str">
            <v>Oil Sands</v>
          </cell>
          <cell r="G927">
            <v>0</v>
          </cell>
          <cell r="H927" t="str">
            <v>Production;Oil;Oil Sands</v>
          </cell>
          <cell r="I927" t="str">
            <v>Oil;Oil Sands;0;4</v>
          </cell>
          <cell r="J927" t="str">
            <v>AB</v>
          </cell>
          <cell r="K927" t="str">
            <v>DEEP</v>
          </cell>
          <cell r="L927">
            <v>24</v>
          </cell>
          <cell r="M927">
            <v>31</v>
          </cell>
        </row>
        <row r="928">
          <cell r="A928">
            <v>4</v>
          </cell>
          <cell r="B928">
            <v>2000</v>
          </cell>
          <cell r="C928">
            <v>1</v>
          </cell>
          <cell r="D928" t="str">
            <v>Production</v>
          </cell>
          <cell r="E928" t="str">
            <v>Oil</v>
          </cell>
          <cell r="F928" t="str">
            <v>Oil Sands</v>
          </cell>
          <cell r="G928">
            <v>0</v>
          </cell>
          <cell r="H928" t="str">
            <v>Production;Oil;Oil Sands</v>
          </cell>
          <cell r="I928" t="str">
            <v>Oil;Oil Sands;0;4</v>
          </cell>
          <cell r="J928" t="str">
            <v>AB</v>
          </cell>
          <cell r="K928" t="str">
            <v>Medium</v>
          </cell>
          <cell r="L928">
            <v>269</v>
          </cell>
          <cell r="M928">
            <v>736.99999510000021</v>
          </cell>
        </row>
        <row r="929">
          <cell r="A929">
            <v>4</v>
          </cell>
          <cell r="B929">
            <v>2000</v>
          </cell>
          <cell r="C929">
            <v>1</v>
          </cell>
          <cell r="D929" t="str">
            <v>Production</v>
          </cell>
          <cell r="E929" t="str">
            <v>Oil</v>
          </cell>
          <cell r="F929" t="str">
            <v>Oil Sands</v>
          </cell>
          <cell r="G929">
            <v>0</v>
          </cell>
          <cell r="H929" t="str">
            <v>Production;Oil;Oil Sands</v>
          </cell>
          <cell r="I929" t="str">
            <v>Oil;Oil Sands;0;4</v>
          </cell>
          <cell r="J929" t="str">
            <v>AB</v>
          </cell>
          <cell r="K929" t="str">
            <v>Shallow</v>
          </cell>
          <cell r="L929">
            <v>238</v>
          </cell>
          <cell r="M929">
            <v>769.15436590000024</v>
          </cell>
        </row>
        <row r="930">
          <cell r="A930">
            <v>4</v>
          </cell>
          <cell r="B930">
            <v>2000</v>
          </cell>
          <cell r="C930">
            <v>2</v>
          </cell>
          <cell r="D930" t="str">
            <v>Production</v>
          </cell>
          <cell r="E930" t="str">
            <v>Oil</v>
          </cell>
          <cell r="F930" t="str">
            <v>Oil Sands</v>
          </cell>
          <cell r="G930">
            <v>0</v>
          </cell>
          <cell r="H930" t="str">
            <v>Production;Oil;Oil Sands</v>
          </cell>
          <cell r="I930" t="str">
            <v>Oil;Oil Sands;0;4</v>
          </cell>
          <cell r="J930" t="str">
            <v>AB</v>
          </cell>
          <cell r="K930" t="str">
            <v>Shallow</v>
          </cell>
          <cell r="L930">
            <v>1</v>
          </cell>
          <cell r="M930">
            <v>2</v>
          </cell>
        </row>
        <row r="931">
          <cell r="A931">
            <v>4</v>
          </cell>
          <cell r="B931">
            <v>2001</v>
          </cell>
          <cell r="C931">
            <v>1</v>
          </cell>
          <cell r="D931" t="str">
            <v>Production</v>
          </cell>
          <cell r="E931" t="str">
            <v>Oil</v>
          </cell>
          <cell r="F931" t="str">
            <v>Oil Sands</v>
          </cell>
          <cell r="G931">
            <v>0</v>
          </cell>
          <cell r="H931" t="str">
            <v>Production;Oil;Oil Sands</v>
          </cell>
          <cell r="I931" t="str">
            <v>Oil;Oil Sands;0;4</v>
          </cell>
          <cell r="J931" t="str">
            <v>AB</v>
          </cell>
          <cell r="K931" t="str">
            <v>Deep</v>
          </cell>
          <cell r="L931">
            <v>95</v>
          </cell>
          <cell r="M931">
            <v>185.39999979999999</v>
          </cell>
        </row>
        <row r="932">
          <cell r="A932">
            <v>4</v>
          </cell>
          <cell r="B932">
            <v>2001</v>
          </cell>
          <cell r="C932">
            <v>1</v>
          </cell>
          <cell r="D932" t="str">
            <v>Production</v>
          </cell>
          <cell r="E932" t="str">
            <v>Oil</v>
          </cell>
          <cell r="F932" t="str">
            <v>Oil Sands</v>
          </cell>
          <cell r="G932">
            <v>0</v>
          </cell>
          <cell r="H932" t="str">
            <v>Production;Oil;Oil Sands</v>
          </cell>
          <cell r="I932" t="str">
            <v>Oil;Oil Sands;0;4</v>
          </cell>
          <cell r="J932" t="str">
            <v>AB</v>
          </cell>
          <cell r="K932" t="str">
            <v>Medium</v>
          </cell>
          <cell r="L932">
            <v>181</v>
          </cell>
          <cell r="M932">
            <v>316.1118985999999</v>
          </cell>
        </row>
        <row r="933">
          <cell r="A933">
            <v>4</v>
          </cell>
          <cell r="B933">
            <v>2001</v>
          </cell>
          <cell r="C933">
            <v>1</v>
          </cell>
          <cell r="D933" t="str">
            <v>Production</v>
          </cell>
          <cell r="E933" t="str">
            <v>Oil</v>
          </cell>
          <cell r="F933" t="str">
            <v>Oil Sands</v>
          </cell>
          <cell r="G933">
            <v>0</v>
          </cell>
          <cell r="H933" t="str">
            <v>Production;Oil;Oil Sands</v>
          </cell>
          <cell r="I933" t="str">
            <v>Oil;Oil Sands;0;4</v>
          </cell>
          <cell r="J933" t="str">
            <v>AB</v>
          </cell>
          <cell r="K933" t="str">
            <v>Shallow</v>
          </cell>
          <cell r="L933">
            <v>176</v>
          </cell>
          <cell r="M933">
            <v>486.39999929999993</v>
          </cell>
        </row>
        <row r="934">
          <cell r="A934">
            <v>4</v>
          </cell>
          <cell r="B934">
            <v>2002</v>
          </cell>
          <cell r="C934">
            <v>1</v>
          </cell>
          <cell r="D934" t="str">
            <v>Production</v>
          </cell>
          <cell r="E934" t="str">
            <v>Oil</v>
          </cell>
          <cell r="F934" t="str">
            <v>Oil Sands</v>
          </cell>
          <cell r="G934">
            <v>0</v>
          </cell>
          <cell r="H934" t="str">
            <v>Production;Oil;Oil Sands</v>
          </cell>
          <cell r="I934" t="str">
            <v>Oil;Oil Sands;0;4</v>
          </cell>
          <cell r="J934" t="str">
            <v>AB</v>
          </cell>
          <cell r="K934" t="str">
            <v>Deep</v>
          </cell>
          <cell r="L934">
            <v>35</v>
          </cell>
          <cell r="M934">
            <v>43.5</v>
          </cell>
        </row>
        <row r="935">
          <cell r="A935">
            <v>4</v>
          </cell>
          <cell r="B935">
            <v>2002</v>
          </cell>
          <cell r="C935">
            <v>1</v>
          </cell>
          <cell r="D935" t="str">
            <v>Production</v>
          </cell>
          <cell r="E935" t="str">
            <v>Oil</v>
          </cell>
          <cell r="F935" t="str">
            <v>Oil Sands</v>
          </cell>
          <cell r="G935">
            <v>0</v>
          </cell>
          <cell r="H935" t="str">
            <v>Production;Oil;Oil Sands</v>
          </cell>
          <cell r="I935" t="str">
            <v>Oil;Oil Sands;0;4</v>
          </cell>
          <cell r="J935" t="str">
            <v>AB</v>
          </cell>
          <cell r="K935" t="str">
            <v>Medium</v>
          </cell>
          <cell r="L935">
            <v>313</v>
          </cell>
          <cell r="M935">
            <v>657.26666670000009</v>
          </cell>
        </row>
        <row r="936">
          <cell r="A936">
            <v>4</v>
          </cell>
          <cell r="B936">
            <v>2002</v>
          </cell>
          <cell r="C936">
            <v>1</v>
          </cell>
          <cell r="D936" t="str">
            <v>Production</v>
          </cell>
          <cell r="E936" t="str">
            <v>Oil</v>
          </cell>
          <cell r="F936" t="str">
            <v>Oil Sands</v>
          </cell>
          <cell r="G936">
            <v>0</v>
          </cell>
          <cell r="H936" t="str">
            <v>Production;Oil;Oil Sands</v>
          </cell>
          <cell r="I936" t="str">
            <v>Oil;Oil Sands;0;4</v>
          </cell>
          <cell r="J936" t="str">
            <v>AB</v>
          </cell>
          <cell r="K936" t="str">
            <v>Shallow</v>
          </cell>
          <cell r="L936">
            <v>211</v>
          </cell>
          <cell r="M936">
            <v>629.63333199999988</v>
          </cell>
        </row>
        <row r="937">
          <cell r="A937">
            <v>4</v>
          </cell>
          <cell r="B937">
            <v>2003</v>
          </cell>
          <cell r="C937">
            <v>1</v>
          </cell>
          <cell r="D937" t="str">
            <v>Production</v>
          </cell>
          <cell r="E937" t="str">
            <v>Oil</v>
          </cell>
          <cell r="F937" t="str">
            <v>Oil Sands</v>
          </cell>
          <cell r="G937">
            <v>0</v>
          </cell>
          <cell r="H937" t="str">
            <v>Production;Oil;Oil Sands</v>
          </cell>
          <cell r="I937" t="str">
            <v>Oil;Oil Sands;0;4</v>
          </cell>
          <cell r="J937" t="str">
            <v>AB</v>
          </cell>
          <cell r="K937" t="str">
            <v>Deep</v>
          </cell>
          <cell r="L937">
            <v>4</v>
          </cell>
          <cell r="M937">
            <v>16</v>
          </cell>
        </row>
        <row r="938">
          <cell r="A938">
            <v>4</v>
          </cell>
          <cell r="B938">
            <v>2003</v>
          </cell>
          <cell r="C938">
            <v>1</v>
          </cell>
          <cell r="D938" t="str">
            <v>Production</v>
          </cell>
          <cell r="E938" t="str">
            <v>Oil</v>
          </cell>
          <cell r="F938" t="str">
            <v>Oil Sands</v>
          </cell>
          <cell r="G938">
            <v>0</v>
          </cell>
          <cell r="H938" t="str">
            <v>Production;Oil;Oil Sands</v>
          </cell>
          <cell r="I938" t="str">
            <v>Oil;Oil Sands;0;4</v>
          </cell>
          <cell r="J938" t="str">
            <v>AB</v>
          </cell>
          <cell r="K938" t="str">
            <v>Medium</v>
          </cell>
          <cell r="L938">
            <v>252</v>
          </cell>
          <cell r="M938">
            <v>706.16666799999985</v>
          </cell>
        </row>
        <row r="939">
          <cell r="A939">
            <v>4</v>
          </cell>
          <cell r="B939">
            <v>2003</v>
          </cell>
          <cell r="C939">
            <v>1</v>
          </cell>
          <cell r="D939" t="str">
            <v>Production</v>
          </cell>
          <cell r="E939" t="str">
            <v>Oil</v>
          </cell>
          <cell r="F939" t="str">
            <v>Oil Sands</v>
          </cell>
          <cell r="G939">
            <v>0</v>
          </cell>
          <cell r="H939" t="str">
            <v>Production;Oil;Oil Sands</v>
          </cell>
          <cell r="I939" t="str">
            <v>Oil;Oil Sands;0;4</v>
          </cell>
          <cell r="J939" t="str">
            <v>AB</v>
          </cell>
          <cell r="K939" t="str">
            <v>Shallow</v>
          </cell>
          <cell r="L939">
            <v>299</v>
          </cell>
          <cell r="M939">
            <v>862.500001</v>
          </cell>
        </row>
        <row r="940">
          <cell r="A940">
            <v>4</v>
          </cell>
          <cell r="B940">
            <v>2004</v>
          </cell>
          <cell r="C940">
            <v>1</v>
          </cell>
          <cell r="D940" t="str">
            <v>Production</v>
          </cell>
          <cell r="E940" t="str">
            <v>Oil</v>
          </cell>
          <cell r="F940" t="str">
            <v>Oil Sands</v>
          </cell>
          <cell r="G940">
            <v>0</v>
          </cell>
          <cell r="H940" t="str">
            <v>Production;Oil;Oil Sands</v>
          </cell>
          <cell r="I940" t="str">
            <v>Oil;Oil Sands;0;4</v>
          </cell>
          <cell r="J940" t="str">
            <v>AB</v>
          </cell>
          <cell r="K940" t="str">
            <v>Deep</v>
          </cell>
          <cell r="L940">
            <v>11</v>
          </cell>
          <cell r="M940">
            <v>25.999998999999999</v>
          </cell>
        </row>
        <row r="941">
          <cell r="A941">
            <v>4</v>
          </cell>
          <cell r="B941">
            <v>2004</v>
          </cell>
          <cell r="C941">
            <v>1</v>
          </cell>
          <cell r="D941" t="str">
            <v>Production</v>
          </cell>
          <cell r="E941" t="str">
            <v>Oil</v>
          </cell>
          <cell r="F941" t="str">
            <v>Oil Sands</v>
          </cell>
          <cell r="G941">
            <v>0</v>
          </cell>
          <cell r="H941" t="str">
            <v>Production;Oil;Oil Sands</v>
          </cell>
          <cell r="I941" t="str">
            <v>Oil;Oil Sands;0;4</v>
          </cell>
          <cell r="J941" t="str">
            <v>AB</v>
          </cell>
          <cell r="K941" t="str">
            <v>Medium</v>
          </cell>
          <cell r="L941">
            <v>131</v>
          </cell>
          <cell r="M941">
            <v>310.9999972</v>
          </cell>
        </row>
        <row r="942">
          <cell r="A942">
            <v>4</v>
          </cell>
          <cell r="B942">
            <v>2004</v>
          </cell>
          <cell r="C942">
            <v>1</v>
          </cell>
          <cell r="D942" t="str">
            <v>Production</v>
          </cell>
          <cell r="E942" t="str">
            <v>Oil</v>
          </cell>
          <cell r="F942" t="str">
            <v>Oil Sands</v>
          </cell>
          <cell r="G942">
            <v>0</v>
          </cell>
          <cell r="H942" t="str">
            <v>Production;Oil;Oil Sands</v>
          </cell>
          <cell r="I942" t="str">
            <v>Oil;Oil Sands;0;4</v>
          </cell>
          <cell r="J942" t="str">
            <v>AB</v>
          </cell>
          <cell r="K942" t="str">
            <v>Shallow</v>
          </cell>
          <cell r="L942">
            <v>189</v>
          </cell>
          <cell r="M942">
            <v>557.5</v>
          </cell>
        </row>
        <row r="943">
          <cell r="A943">
            <v>4</v>
          </cell>
          <cell r="B943">
            <v>2005</v>
          </cell>
          <cell r="C943">
            <v>1</v>
          </cell>
          <cell r="D943" t="str">
            <v>Production</v>
          </cell>
          <cell r="E943" t="str">
            <v>Oil</v>
          </cell>
          <cell r="F943" t="str">
            <v>Oil Sands</v>
          </cell>
          <cell r="G943">
            <v>0</v>
          </cell>
          <cell r="H943" t="str">
            <v>Production;Oil;Oil Sands</v>
          </cell>
          <cell r="I943" t="str">
            <v>Oil;Oil Sands;0;4</v>
          </cell>
          <cell r="J943" t="str">
            <v>AB</v>
          </cell>
          <cell r="K943" t="str">
            <v>Deep</v>
          </cell>
          <cell r="L943">
            <v>2</v>
          </cell>
          <cell r="M943">
            <v>3</v>
          </cell>
        </row>
        <row r="944">
          <cell r="A944">
            <v>4</v>
          </cell>
          <cell r="B944">
            <v>2005</v>
          </cell>
          <cell r="C944">
            <v>1</v>
          </cell>
          <cell r="D944" t="str">
            <v>Production</v>
          </cell>
          <cell r="E944" t="str">
            <v>Oil</v>
          </cell>
          <cell r="F944" t="str">
            <v>Oil Sands</v>
          </cell>
          <cell r="G944">
            <v>0</v>
          </cell>
          <cell r="H944" t="str">
            <v>Production;Oil;Oil Sands</v>
          </cell>
          <cell r="I944" t="str">
            <v>Oil;Oil Sands;0;4</v>
          </cell>
          <cell r="J944" t="str">
            <v>AB</v>
          </cell>
          <cell r="K944" t="str">
            <v>Medium</v>
          </cell>
          <cell r="L944">
            <v>172</v>
          </cell>
          <cell r="M944">
            <v>584.34911199999999</v>
          </cell>
        </row>
        <row r="945">
          <cell r="A945">
            <v>4</v>
          </cell>
          <cell r="B945">
            <v>2005</v>
          </cell>
          <cell r="C945">
            <v>1</v>
          </cell>
          <cell r="D945" t="str">
            <v>Production</v>
          </cell>
          <cell r="E945" t="str">
            <v>Oil</v>
          </cell>
          <cell r="F945" t="str">
            <v>Oil Sands</v>
          </cell>
          <cell r="G945">
            <v>0</v>
          </cell>
          <cell r="H945" t="str">
            <v>Production;Oil;Oil Sands</v>
          </cell>
          <cell r="I945" t="str">
            <v>Oil;Oil Sands;0;4</v>
          </cell>
          <cell r="J945" t="str">
            <v>AB</v>
          </cell>
          <cell r="K945" t="str">
            <v>Shallow</v>
          </cell>
          <cell r="L945">
            <v>287</v>
          </cell>
          <cell r="M945">
            <v>888.6166667</v>
          </cell>
        </row>
        <row r="946">
          <cell r="A946">
            <v>4</v>
          </cell>
          <cell r="B946">
            <v>2006</v>
          </cell>
          <cell r="C946">
            <v>1</v>
          </cell>
          <cell r="D946" t="str">
            <v>Production</v>
          </cell>
          <cell r="E946" t="str">
            <v>Oil</v>
          </cell>
          <cell r="F946" t="str">
            <v>Oil Sands</v>
          </cell>
          <cell r="G946">
            <v>0</v>
          </cell>
          <cell r="H946" t="str">
            <v>Production;Oil;Oil Sands</v>
          </cell>
          <cell r="I946" t="str">
            <v>Oil;Oil Sands;0;4</v>
          </cell>
          <cell r="J946" t="str">
            <v>AB</v>
          </cell>
          <cell r="K946" t="str">
            <v>Deep</v>
          </cell>
          <cell r="L946">
            <v>9</v>
          </cell>
          <cell r="M946">
            <v>19.5</v>
          </cell>
        </row>
        <row r="947">
          <cell r="A947">
            <v>4</v>
          </cell>
          <cell r="B947">
            <v>2006</v>
          </cell>
          <cell r="C947">
            <v>1</v>
          </cell>
          <cell r="D947" t="str">
            <v>Production</v>
          </cell>
          <cell r="E947" t="str">
            <v>Oil</v>
          </cell>
          <cell r="F947" t="str">
            <v>Oil Sands</v>
          </cell>
          <cell r="G947">
            <v>0</v>
          </cell>
          <cell r="H947" t="str">
            <v>Production;Oil;Oil Sands</v>
          </cell>
          <cell r="I947" t="str">
            <v>Oil;Oil Sands;0;4</v>
          </cell>
          <cell r="J947" t="str">
            <v>AB</v>
          </cell>
          <cell r="K947" t="str">
            <v>Medium</v>
          </cell>
          <cell r="L947">
            <v>223</v>
          </cell>
          <cell r="M947">
            <v>701.99829869999985</v>
          </cell>
        </row>
        <row r="948">
          <cell r="A948">
            <v>4</v>
          </cell>
          <cell r="B948">
            <v>2006</v>
          </cell>
          <cell r="C948">
            <v>1</v>
          </cell>
          <cell r="D948" t="str">
            <v>Production</v>
          </cell>
          <cell r="E948" t="str">
            <v>Oil</v>
          </cell>
          <cell r="F948" t="str">
            <v>Oil Sands</v>
          </cell>
          <cell r="G948">
            <v>0</v>
          </cell>
          <cell r="H948" t="str">
            <v>Production;Oil;Oil Sands</v>
          </cell>
          <cell r="I948" t="str">
            <v>Oil;Oil Sands;0;4</v>
          </cell>
          <cell r="J948" t="str">
            <v>AB</v>
          </cell>
          <cell r="K948" t="str">
            <v>Shallow</v>
          </cell>
          <cell r="L948">
            <v>358</v>
          </cell>
          <cell r="M948">
            <v>1117.5648348</v>
          </cell>
        </row>
        <row r="949">
          <cell r="A949">
            <v>4</v>
          </cell>
          <cell r="B949">
            <v>2007</v>
          </cell>
          <cell r="C949">
            <v>1</v>
          </cell>
          <cell r="D949" t="str">
            <v>Production</v>
          </cell>
          <cell r="E949" t="str">
            <v>Oil</v>
          </cell>
          <cell r="F949" t="str">
            <v>Oil Sands</v>
          </cell>
          <cell r="G949">
            <v>0</v>
          </cell>
          <cell r="H949" t="str">
            <v>Production;Oil;Oil Sands</v>
          </cell>
          <cell r="I949" t="str">
            <v>Oil;Oil Sands;0;4</v>
          </cell>
          <cell r="J949" t="str">
            <v>AB</v>
          </cell>
          <cell r="K949" t="str">
            <v>Medium</v>
          </cell>
          <cell r="L949">
            <v>122</v>
          </cell>
          <cell r="M949">
            <v>509.13708600000001</v>
          </cell>
        </row>
        <row r="950">
          <cell r="A950">
            <v>4</v>
          </cell>
          <cell r="B950">
            <v>2007</v>
          </cell>
          <cell r="C950">
            <v>1</v>
          </cell>
          <cell r="D950" t="str">
            <v>Production</v>
          </cell>
          <cell r="E950" t="str">
            <v>Oil</v>
          </cell>
          <cell r="F950" t="str">
            <v>Oil Sands</v>
          </cell>
          <cell r="G950">
            <v>0</v>
          </cell>
          <cell r="H950" t="str">
            <v>Production;Oil;Oil Sands</v>
          </cell>
          <cell r="I950" t="str">
            <v>Oil;Oil Sands;0;4</v>
          </cell>
          <cell r="J950" t="str">
            <v>AB</v>
          </cell>
          <cell r="K950" t="str">
            <v>Shallow</v>
          </cell>
          <cell r="L950">
            <v>114</v>
          </cell>
          <cell r="M950">
            <v>371</v>
          </cell>
        </row>
        <row r="951">
          <cell r="A951">
            <v>4</v>
          </cell>
          <cell r="B951">
            <v>2007</v>
          </cell>
          <cell r="C951">
            <v>2</v>
          </cell>
          <cell r="D951" t="str">
            <v>Production</v>
          </cell>
          <cell r="E951" t="str">
            <v>Oil</v>
          </cell>
          <cell r="F951" t="str">
            <v>Oil Sands</v>
          </cell>
          <cell r="G951">
            <v>0</v>
          </cell>
          <cell r="H951" t="str">
            <v>Production;Oil;Oil Sands</v>
          </cell>
          <cell r="I951" t="str">
            <v>Oil;Oil Sands;0;4</v>
          </cell>
          <cell r="J951" t="str">
            <v>AB</v>
          </cell>
          <cell r="K951" t="str">
            <v>Medium</v>
          </cell>
          <cell r="L951">
            <v>1</v>
          </cell>
          <cell r="M951">
            <v>11</v>
          </cell>
        </row>
        <row r="952">
          <cell r="A952">
            <v>5</v>
          </cell>
          <cell r="B952">
            <v>2000</v>
          </cell>
          <cell r="C952">
            <v>3</v>
          </cell>
          <cell r="D952" t="str">
            <v>Production</v>
          </cell>
          <cell r="E952" t="str">
            <v>Oil</v>
          </cell>
          <cell r="F952" t="str">
            <v>Oil Sands</v>
          </cell>
          <cell r="G952">
            <v>0</v>
          </cell>
          <cell r="H952" t="str">
            <v>Production;Oil;Oil Sands</v>
          </cell>
          <cell r="I952" t="str">
            <v>Oil;Oil Sands;0;5</v>
          </cell>
          <cell r="J952" t="str">
            <v>AB</v>
          </cell>
          <cell r="K952" t="str">
            <v>Medium</v>
          </cell>
          <cell r="L952">
            <v>1</v>
          </cell>
          <cell r="M952">
            <v>8</v>
          </cell>
        </row>
        <row r="953">
          <cell r="A953">
            <v>5</v>
          </cell>
          <cell r="B953">
            <v>2001</v>
          </cell>
          <cell r="C953">
            <v>1</v>
          </cell>
          <cell r="D953" t="str">
            <v>Production</v>
          </cell>
          <cell r="E953" t="str">
            <v>Oil</v>
          </cell>
          <cell r="F953" t="str">
            <v>Oil Sands</v>
          </cell>
          <cell r="G953">
            <v>0</v>
          </cell>
          <cell r="H953" t="str">
            <v>Production;Oil;Oil Sands</v>
          </cell>
          <cell r="I953" t="str">
            <v>Oil;Oil Sands;0;5</v>
          </cell>
          <cell r="J953" t="str">
            <v>AB</v>
          </cell>
          <cell r="K953" t="str">
            <v>Shallow</v>
          </cell>
          <cell r="L953">
            <v>1</v>
          </cell>
          <cell r="M953">
            <v>5</v>
          </cell>
        </row>
        <row r="954">
          <cell r="A954">
            <v>5</v>
          </cell>
          <cell r="B954">
            <v>2001</v>
          </cell>
          <cell r="C954">
            <v>2</v>
          </cell>
          <cell r="D954" t="str">
            <v>Production</v>
          </cell>
          <cell r="E954" t="str">
            <v>Oil</v>
          </cell>
          <cell r="F954" t="str">
            <v>Oil Sands</v>
          </cell>
          <cell r="G954">
            <v>0</v>
          </cell>
          <cell r="H954" t="str">
            <v>Production;Oil;Oil Sands</v>
          </cell>
          <cell r="I954" t="str">
            <v>Oil;Oil Sands;0;5</v>
          </cell>
          <cell r="J954" t="str">
            <v>AB</v>
          </cell>
          <cell r="K954" t="str">
            <v>DEEP</v>
          </cell>
          <cell r="L954">
            <v>1</v>
          </cell>
          <cell r="M954">
            <v>11</v>
          </cell>
        </row>
        <row r="955">
          <cell r="A955">
            <v>5</v>
          </cell>
          <cell r="B955">
            <v>2002</v>
          </cell>
          <cell r="C955">
            <v>2</v>
          </cell>
          <cell r="D955" t="str">
            <v>Production</v>
          </cell>
          <cell r="E955" t="str">
            <v>Oil</v>
          </cell>
          <cell r="F955" t="str">
            <v>Oil Sands</v>
          </cell>
          <cell r="G955">
            <v>0</v>
          </cell>
          <cell r="H955" t="str">
            <v>Production;Oil;Oil Sands</v>
          </cell>
          <cell r="I955" t="str">
            <v>Oil;Oil Sands;0;5</v>
          </cell>
          <cell r="J955" t="str">
            <v>AB</v>
          </cell>
          <cell r="K955" t="str">
            <v>Medium</v>
          </cell>
          <cell r="L955">
            <v>3</v>
          </cell>
          <cell r="M955">
            <v>21</v>
          </cell>
        </row>
        <row r="956">
          <cell r="A956">
            <v>5</v>
          </cell>
          <cell r="B956">
            <v>2003</v>
          </cell>
          <cell r="C956">
            <v>2</v>
          </cell>
          <cell r="D956" t="str">
            <v>Production</v>
          </cell>
          <cell r="E956" t="str">
            <v>Oil</v>
          </cell>
          <cell r="F956" t="str">
            <v>Oil Sands</v>
          </cell>
          <cell r="G956">
            <v>0</v>
          </cell>
          <cell r="H956" t="str">
            <v>Production;Oil;Oil Sands</v>
          </cell>
          <cell r="I956" t="str">
            <v>Oil;Oil Sands;0;5</v>
          </cell>
          <cell r="J956" t="str">
            <v>AB</v>
          </cell>
          <cell r="K956" t="str">
            <v>Medium</v>
          </cell>
          <cell r="L956">
            <v>2</v>
          </cell>
          <cell r="M956">
            <v>22</v>
          </cell>
        </row>
        <row r="957">
          <cell r="A957">
            <v>5</v>
          </cell>
          <cell r="B957">
            <v>2003</v>
          </cell>
          <cell r="C957">
            <v>2</v>
          </cell>
          <cell r="D957" t="str">
            <v>Production</v>
          </cell>
          <cell r="E957" t="str">
            <v>Oil</v>
          </cell>
          <cell r="F957" t="str">
            <v>Oil Sands</v>
          </cell>
          <cell r="G957">
            <v>0</v>
          </cell>
          <cell r="H957" t="str">
            <v>Production;Oil;Oil Sands</v>
          </cell>
          <cell r="I957" t="str">
            <v>Oil;Oil Sands;0;5</v>
          </cell>
          <cell r="J957" t="str">
            <v>AB</v>
          </cell>
          <cell r="K957" t="str">
            <v>Shallow</v>
          </cell>
          <cell r="L957">
            <v>2</v>
          </cell>
          <cell r="M957">
            <v>21</v>
          </cell>
        </row>
        <row r="958">
          <cell r="A958">
            <v>5</v>
          </cell>
          <cell r="B958">
            <v>2005</v>
          </cell>
          <cell r="C958">
            <v>1</v>
          </cell>
          <cell r="D958" t="str">
            <v>Production</v>
          </cell>
          <cell r="E958" t="str">
            <v>Oil</v>
          </cell>
          <cell r="F958" t="str">
            <v>Oil Sands</v>
          </cell>
          <cell r="G958">
            <v>0</v>
          </cell>
          <cell r="H958" t="str">
            <v>Production;Oil;Oil Sands</v>
          </cell>
          <cell r="I958" t="str">
            <v>Oil;Oil Sands;0;5</v>
          </cell>
          <cell r="J958" t="str">
            <v>AB</v>
          </cell>
          <cell r="K958" t="str">
            <v>Medium</v>
          </cell>
          <cell r="L958">
            <v>1</v>
          </cell>
          <cell r="M958">
            <v>8</v>
          </cell>
        </row>
        <row r="959">
          <cell r="A959">
            <v>5</v>
          </cell>
          <cell r="B959">
            <v>2005</v>
          </cell>
          <cell r="C959">
            <v>1</v>
          </cell>
          <cell r="D959" t="str">
            <v>Production</v>
          </cell>
          <cell r="E959" t="str">
            <v>Oil</v>
          </cell>
          <cell r="F959" t="str">
            <v>Oil Sands</v>
          </cell>
          <cell r="G959">
            <v>0</v>
          </cell>
          <cell r="H959" t="str">
            <v>Production;Oil;Oil Sands</v>
          </cell>
          <cell r="I959" t="str">
            <v>Oil;Oil Sands;0;5</v>
          </cell>
          <cell r="J959" t="str">
            <v>AB</v>
          </cell>
          <cell r="K959" t="str">
            <v>Shallow</v>
          </cell>
          <cell r="L959">
            <v>1</v>
          </cell>
          <cell r="M959">
            <v>6</v>
          </cell>
        </row>
        <row r="960">
          <cell r="A960">
            <v>5</v>
          </cell>
          <cell r="B960">
            <v>2005</v>
          </cell>
          <cell r="C960">
            <v>2</v>
          </cell>
          <cell r="D960" t="str">
            <v>Production</v>
          </cell>
          <cell r="E960" t="str">
            <v>Oil</v>
          </cell>
          <cell r="F960" t="str">
            <v>Oil Sands</v>
          </cell>
          <cell r="G960">
            <v>0</v>
          </cell>
          <cell r="H960" t="str">
            <v>Production;Oil;Oil Sands</v>
          </cell>
          <cell r="I960" t="str">
            <v>Oil;Oil Sands;0;5</v>
          </cell>
          <cell r="J960" t="str">
            <v>AB</v>
          </cell>
          <cell r="K960" t="str">
            <v>Medium</v>
          </cell>
          <cell r="L960">
            <v>1</v>
          </cell>
          <cell r="M960">
            <v>4</v>
          </cell>
        </row>
        <row r="961">
          <cell r="A961">
            <v>5</v>
          </cell>
          <cell r="B961">
            <v>2006</v>
          </cell>
          <cell r="C961">
            <v>1</v>
          </cell>
          <cell r="D961" t="str">
            <v>Production</v>
          </cell>
          <cell r="E961" t="str">
            <v>Oil</v>
          </cell>
          <cell r="F961" t="str">
            <v>Oil Sands</v>
          </cell>
          <cell r="G961">
            <v>0</v>
          </cell>
          <cell r="H961" t="str">
            <v>Production;Oil;Oil Sands</v>
          </cell>
          <cell r="I961" t="str">
            <v>Oil;Oil Sands;0;5</v>
          </cell>
          <cell r="J961" t="str">
            <v>AB</v>
          </cell>
          <cell r="K961" t="str">
            <v>Deep</v>
          </cell>
          <cell r="L961">
            <v>1</v>
          </cell>
          <cell r="M961">
            <v>19</v>
          </cell>
        </row>
        <row r="962">
          <cell r="A962">
            <v>5</v>
          </cell>
          <cell r="B962">
            <v>2006</v>
          </cell>
          <cell r="C962">
            <v>1</v>
          </cell>
          <cell r="D962" t="str">
            <v>Production</v>
          </cell>
          <cell r="E962" t="str">
            <v>Oil</v>
          </cell>
          <cell r="F962" t="str">
            <v>Oil Sands</v>
          </cell>
          <cell r="G962">
            <v>0</v>
          </cell>
          <cell r="H962" t="str">
            <v>Production;Oil;Oil Sands</v>
          </cell>
          <cell r="I962" t="str">
            <v>Oil;Oil Sands;0;5</v>
          </cell>
          <cell r="J962" t="str">
            <v>AB</v>
          </cell>
          <cell r="K962" t="str">
            <v>Shallow</v>
          </cell>
          <cell r="L962">
            <v>1</v>
          </cell>
          <cell r="M962">
            <v>8</v>
          </cell>
        </row>
        <row r="963">
          <cell r="A963">
            <v>5</v>
          </cell>
          <cell r="B963">
            <v>2006</v>
          </cell>
          <cell r="C963">
            <v>2</v>
          </cell>
          <cell r="D963" t="str">
            <v>Production</v>
          </cell>
          <cell r="E963" t="str">
            <v>Oil</v>
          </cell>
          <cell r="F963" t="str">
            <v>Oil Sands</v>
          </cell>
          <cell r="G963">
            <v>0</v>
          </cell>
          <cell r="H963" t="str">
            <v>Production;Oil;Oil Sands</v>
          </cell>
          <cell r="I963" t="str">
            <v>Oil;Oil Sands;0;5</v>
          </cell>
          <cell r="J963" t="str">
            <v>AB</v>
          </cell>
          <cell r="K963" t="str">
            <v>Deep</v>
          </cell>
          <cell r="L963">
            <v>1</v>
          </cell>
          <cell r="M963">
            <v>7</v>
          </cell>
        </row>
        <row r="964">
          <cell r="A964">
            <v>5</v>
          </cell>
          <cell r="B964">
            <v>2006</v>
          </cell>
          <cell r="C964">
            <v>2</v>
          </cell>
          <cell r="D964" t="str">
            <v>Production</v>
          </cell>
          <cell r="E964" t="str">
            <v>Oil</v>
          </cell>
          <cell r="F964" t="str">
            <v>Oil Sands</v>
          </cell>
          <cell r="G964">
            <v>0</v>
          </cell>
          <cell r="H964" t="str">
            <v>Production;Oil;Oil Sands</v>
          </cell>
          <cell r="I964" t="str">
            <v>Oil;Oil Sands;0;5</v>
          </cell>
          <cell r="J964" t="str">
            <v>AB</v>
          </cell>
          <cell r="K964" t="str">
            <v>Medium</v>
          </cell>
          <cell r="L964">
            <v>1</v>
          </cell>
          <cell r="M964">
            <v>10</v>
          </cell>
        </row>
        <row r="965">
          <cell r="A965">
            <v>5</v>
          </cell>
          <cell r="B965">
            <v>2007</v>
          </cell>
          <cell r="C965">
            <v>1</v>
          </cell>
          <cell r="D965" t="str">
            <v>Production</v>
          </cell>
          <cell r="E965" t="str">
            <v>Oil</v>
          </cell>
          <cell r="F965" t="str">
            <v>Oil Sands</v>
          </cell>
          <cell r="G965">
            <v>0</v>
          </cell>
          <cell r="H965" t="str">
            <v>Production;Oil;Oil Sands</v>
          </cell>
          <cell r="I965" t="str">
            <v>Oil;Oil Sands;0;5</v>
          </cell>
          <cell r="J965" t="str">
            <v>AB</v>
          </cell>
          <cell r="K965" t="str">
            <v>Medium</v>
          </cell>
          <cell r="L965">
            <v>1</v>
          </cell>
          <cell r="M965">
            <v>21</v>
          </cell>
        </row>
        <row r="966">
          <cell r="A966">
            <v>6</v>
          </cell>
          <cell r="B966">
            <v>2000</v>
          </cell>
          <cell r="C966">
            <v>1</v>
          </cell>
          <cell r="D966" t="str">
            <v>Production</v>
          </cell>
          <cell r="E966" t="str">
            <v>Oil</v>
          </cell>
          <cell r="F966" t="str">
            <v>Oil Sands</v>
          </cell>
          <cell r="G966">
            <v>0</v>
          </cell>
          <cell r="H966" t="str">
            <v>Production;Oil;Oil Sands</v>
          </cell>
          <cell r="I966" t="str">
            <v>Oil;Oil Sands;0;6</v>
          </cell>
          <cell r="J966" t="str">
            <v>AB</v>
          </cell>
          <cell r="K966" t="str">
            <v>DEEP</v>
          </cell>
          <cell r="L966">
            <v>139</v>
          </cell>
          <cell r="M966">
            <v>585.50000100000011</v>
          </cell>
        </row>
        <row r="967">
          <cell r="A967">
            <v>6</v>
          </cell>
          <cell r="B967">
            <v>2000</v>
          </cell>
          <cell r="C967">
            <v>1</v>
          </cell>
          <cell r="D967" t="str">
            <v>Production</v>
          </cell>
          <cell r="E967" t="str">
            <v>Oil</v>
          </cell>
          <cell r="F967" t="str">
            <v>Oil Sands</v>
          </cell>
          <cell r="G967">
            <v>0</v>
          </cell>
          <cell r="H967" t="str">
            <v>Production;Oil;Oil Sands</v>
          </cell>
          <cell r="I967" t="str">
            <v>Oil;Oil Sands;0;6</v>
          </cell>
          <cell r="J967" t="str">
            <v>AB</v>
          </cell>
          <cell r="K967" t="str">
            <v>Medium</v>
          </cell>
          <cell r="L967">
            <v>274</v>
          </cell>
          <cell r="M967">
            <v>2039.5498564</v>
          </cell>
        </row>
        <row r="968">
          <cell r="A968">
            <v>6</v>
          </cell>
          <cell r="B968">
            <v>2000</v>
          </cell>
          <cell r="C968">
            <v>1</v>
          </cell>
          <cell r="D968" t="str">
            <v>Production</v>
          </cell>
          <cell r="E968" t="str">
            <v>Oil</v>
          </cell>
          <cell r="F968" t="str">
            <v>Oil Sands</v>
          </cell>
          <cell r="G968">
            <v>0</v>
          </cell>
          <cell r="H968" t="str">
            <v>Production;Oil;Oil Sands</v>
          </cell>
          <cell r="I968" t="str">
            <v>Oil;Oil Sands;0;6</v>
          </cell>
          <cell r="J968" t="str">
            <v>AB</v>
          </cell>
          <cell r="K968" t="str">
            <v>Shallow</v>
          </cell>
          <cell r="L968">
            <v>22</v>
          </cell>
          <cell r="M968">
            <v>87.416665999999992</v>
          </cell>
        </row>
        <row r="969">
          <cell r="A969">
            <v>6</v>
          </cell>
          <cell r="B969">
            <v>2000</v>
          </cell>
          <cell r="C969">
            <v>2</v>
          </cell>
          <cell r="D969" t="str">
            <v>Production</v>
          </cell>
          <cell r="E969" t="str">
            <v>Oil</v>
          </cell>
          <cell r="F969" t="str">
            <v>Oil Sands</v>
          </cell>
          <cell r="G969">
            <v>0</v>
          </cell>
          <cell r="H969" t="str">
            <v>Production;Oil;Oil Sands</v>
          </cell>
          <cell r="I969" t="str">
            <v>Oil;Oil Sands;0;6</v>
          </cell>
          <cell r="J969" t="str">
            <v>AB</v>
          </cell>
          <cell r="K969" t="str">
            <v>Medium</v>
          </cell>
          <cell r="L969">
            <v>2</v>
          </cell>
          <cell r="M969">
            <v>1.0512820999999999</v>
          </cell>
        </row>
        <row r="970">
          <cell r="A970">
            <v>6</v>
          </cell>
          <cell r="B970">
            <v>2001</v>
          </cell>
          <cell r="C970">
            <v>1</v>
          </cell>
          <cell r="D970" t="str">
            <v>Production</v>
          </cell>
          <cell r="E970" t="str">
            <v>Oil</v>
          </cell>
          <cell r="F970" t="str">
            <v>Oil Sands</v>
          </cell>
          <cell r="G970">
            <v>0</v>
          </cell>
          <cell r="H970" t="str">
            <v>Production;Oil;Oil Sands</v>
          </cell>
          <cell r="I970" t="str">
            <v>Oil;Oil Sands;0;6</v>
          </cell>
          <cell r="J970" t="str">
            <v>AB</v>
          </cell>
          <cell r="K970" t="str">
            <v>Deep</v>
          </cell>
          <cell r="L970">
            <v>26</v>
          </cell>
          <cell r="M970">
            <v>237.66665999999998</v>
          </cell>
        </row>
        <row r="971">
          <cell r="A971">
            <v>6</v>
          </cell>
          <cell r="B971">
            <v>2001</v>
          </cell>
          <cell r="C971">
            <v>1</v>
          </cell>
          <cell r="D971" t="str">
            <v>Production</v>
          </cell>
          <cell r="E971" t="str">
            <v>Oil</v>
          </cell>
          <cell r="F971" t="str">
            <v>Oil Sands</v>
          </cell>
          <cell r="G971">
            <v>0</v>
          </cell>
          <cell r="H971" t="str">
            <v>Production;Oil;Oil Sands</v>
          </cell>
          <cell r="I971" t="str">
            <v>Oil;Oil Sands;0;6</v>
          </cell>
          <cell r="J971" t="str">
            <v>AB</v>
          </cell>
          <cell r="K971" t="str">
            <v>Medium</v>
          </cell>
          <cell r="L971">
            <v>270</v>
          </cell>
          <cell r="M971">
            <v>1761.1039389999989</v>
          </cell>
        </row>
        <row r="972">
          <cell r="A972">
            <v>6</v>
          </cell>
          <cell r="B972">
            <v>2001</v>
          </cell>
          <cell r="C972">
            <v>1</v>
          </cell>
          <cell r="D972" t="str">
            <v>Production</v>
          </cell>
          <cell r="E972" t="str">
            <v>Oil</v>
          </cell>
          <cell r="F972" t="str">
            <v>Oil Sands</v>
          </cell>
          <cell r="G972">
            <v>0</v>
          </cell>
          <cell r="H972" t="str">
            <v>Production;Oil;Oil Sands</v>
          </cell>
          <cell r="I972" t="str">
            <v>Oil;Oil Sands;0;6</v>
          </cell>
          <cell r="J972" t="str">
            <v>AB</v>
          </cell>
          <cell r="K972" t="str">
            <v>Shallow</v>
          </cell>
          <cell r="L972">
            <v>24</v>
          </cell>
          <cell r="M972">
            <v>110.700007</v>
          </cell>
        </row>
        <row r="973">
          <cell r="A973">
            <v>6</v>
          </cell>
          <cell r="B973">
            <v>2001</v>
          </cell>
          <cell r="C973">
            <v>2</v>
          </cell>
          <cell r="D973" t="str">
            <v>Production</v>
          </cell>
          <cell r="E973" t="str">
            <v>Oil</v>
          </cell>
          <cell r="F973" t="str">
            <v>Oil Sands</v>
          </cell>
          <cell r="G973">
            <v>0</v>
          </cell>
          <cell r="H973" t="str">
            <v>Production;Oil;Oil Sands</v>
          </cell>
          <cell r="I973" t="str">
            <v>Oil;Oil Sands;0;6</v>
          </cell>
          <cell r="J973" t="str">
            <v>AB</v>
          </cell>
          <cell r="K973" t="str">
            <v>Medium</v>
          </cell>
          <cell r="L973">
            <v>2</v>
          </cell>
          <cell r="M973">
            <v>4</v>
          </cell>
        </row>
        <row r="974">
          <cell r="A974">
            <v>6</v>
          </cell>
          <cell r="B974">
            <v>2002</v>
          </cell>
          <cell r="C974">
            <v>1</v>
          </cell>
          <cell r="D974" t="str">
            <v>Production</v>
          </cell>
          <cell r="E974" t="str">
            <v>Oil</v>
          </cell>
          <cell r="F974" t="str">
            <v>Oil Sands</v>
          </cell>
          <cell r="G974">
            <v>0</v>
          </cell>
          <cell r="H974" t="str">
            <v>Production;Oil;Oil Sands</v>
          </cell>
          <cell r="I974" t="str">
            <v>Oil;Oil Sands;0;6</v>
          </cell>
          <cell r="J974" t="str">
            <v>AB</v>
          </cell>
          <cell r="K974" t="str">
            <v>Deep</v>
          </cell>
          <cell r="L974">
            <v>123</v>
          </cell>
          <cell r="M974">
            <v>453.13889170000004</v>
          </cell>
        </row>
        <row r="975">
          <cell r="A975">
            <v>6</v>
          </cell>
          <cell r="B975">
            <v>2002</v>
          </cell>
          <cell r="C975">
            <v>1</v>
          </cell>
          <cell r="D975" t="str">
            <v>Production</v>
          </cell>
          <cell r="E975" t="str">
            <v>Oil</v>
          </cell>
          <cell r="F975" t="str">
            <v>Oil Sands</v>
          </cell>
          <cell r="G975">
            <v>0</v>
          </cell>
          <cell r="H975" t="str">
            <v>Production;Oil;Oil Sands</v>
          </cell>
          <cell r="I975" t="str">
            <v>Oil;Oil Sands;0;6</v>
          </cell>
          <cell r="J975" t="str">
            <v>AB</v>
          </cell>
          <cell r="K975" t="str">
            <v>Medium</v>
          </cell>
          <cell r="L975">
            <v>270</v>
          </cell>
          <cell r="M975">
            <v>1566.1373063000001</v>
          </cell>
        </row>
        <row r="976">
          <cell r="A976">
            <v>6</v>
          </cell>
          <cell r="B976">
            <v>2002</v>
          </cell>
          <cell r="C976">
            <v>1</v>
          </cell>
          <cell r="D976" t="str">
            <v>Production</v>
          </cell>
          <cell r="E976" t="str">
            <v>Oil</v>
          </cell>
          <cell r="F976" t="str">
            <v>Oil Sands</v>
          </cell>
          <cell r="G976">
            <v>0</v>
          </cell>
          <cell r="H976" t="str">
            <v>Production;Oil;Oil Sands</v>
          </cell>
          <cell r="I976" t="str">
            <v>Oil;Oil Sands;0;6</v>
          </cell>
          <cell r="J976" t="str">
            <v>AB</v>
          </cell>
          <cell r="K976" t="str">
            <v>Shallow</v>
          </cell>
          <cell r="L976">
            <v>2</v>
          </cell>
          <cell r="M976">
            <v>36.333330000000004</v>
          </cell>
        </row>
        <row r="977">
          <cell r="A977">
            <v>6</v>
          </cell>
          <cell r="B977">
            <v>2002</v>
          </cell>
          <cell r="C977">
            <v>2</v>
          </cell>
          <cell r="D977" t="str">
            <v>Production</v>
          </cell>
          <cell r="E977" t="str">
            <v>Oil</v>
          </cell>
          <cell r="F977" t="str">
            <v>Oil Sands</v>
          </cell>
          <cell r="G977">
            <v>0</v>
          </cell>
          <cell r="H977" t="str">
            <v>Production;Oil;Oil Sands</v>
          </cell>
          <cell r="I977" t="str">
            <v>Oil;Oil Sands;0;6</v>
          </cell>
          <cell r="J977" t="str">
            <v>AB</v>
          </cell>
          <cell r="K977" t="str">
            <v>Medium</v>
          </cell>
          <cell r="L977">
            <v>3</v>
          </cell>
          <cell r="M977">
            <v>24</v>
          </cell>
        </row>
        <row r="978">
          <cell r="A978">
            <v>6</v>
          </cell>
          <cell r="B978">
            <v>2002</v>
          </cell>
          <cell r="C978">
            <v>3</v>
          </cell>
          <cell r="D978" t="str">
            <v>Production</v>
          </cell>
          <cell r="E978" t="str">
            <v>Oil</v>
          </cell>
          <cell r="F978" t="str">
            <v>Oil Sands</v>
          </cell>
          <cell r="G978">
            <v>0</v>
          </cell>
          <cell r="H978" t="str">
            <v>Production;Oil;Oil Sands</v>
          </cell>
          <cell r="I978" t="str">
            <v>Oil;Oil Sands;0;6</v>
          </cell>
          <cell r="J978" t="str">
            <v>AB</v>
          </cell>
          <cell r="K978" t="str">
            <v>Medium</v>
          </cell>
          <cell r="L978">
            <v>1</v>
          </cell>
          <cell r="M978">
            <v>2.8333330000000001</v>
          </cell>
        </row>
        <row r="979">
          <cell r="A979">
            <v>6</v>
          </cell>
          <cell r="B979">
            <v>2003</v>
          </cell>
          <cell r="C979">
            <v>1</v>
          </cell>
          <cell r="D979" t="str">
            <v>Production</v>
          </cell>
          <cell r="E979" t="str">
            <v>Oil</v>
          </cell>
          <cell r="F979" t="str">
            <v>Oil Sands</v>
          </cell>
          <cell r="G979">
            <v>0</v>
          </cell>
          <cell r="H979" t="str">
            <v>Production;Oil;Oil Sands</v>
          </cell>
          <cell r="I979" t="str">
            <v>Oil;Oil Sands;0;6</v>
          </cell>
          <cell r="J979" t="str">
            <v>AB</v>
          </cell>
          <cell r="K979" t="str">
            <v>Deep</v>
          </cell>
          <cell r="L979">
            <v>34</v>
          </cell>
          <cell r="M979">
            <v>271</v>
          </cell>
        </row>
        <row r="980">
          <cell r="A980">
            <v>6</v>
          </cell>
          <cell r="B980">
            <v>2003</v>
          </cell>
          <cell r="C980">
            <v>1</v>
          </cell>
          <cell r="D980" t="str">
            <v>Production</v>
          </cell>
          <cell r="E980" t="str">
            <v>Oil</v>
          </cell>
          <cell r="F980" t="str">
            <v>Oil Sands</v>
          </cell>
          <cell r="G980">
            <v>0</v>
          </cell>
          <cell r="H980" t="str">
            <v>Production;Oil;Oil Sands</v>
          </cell>
          <cell r="I980" t="str">
            <v>Oil;Oil Sands;0;6</v>
          </cell>
          <cell r="J980" t="str">
            <v>AB</v>
          </cell>
          <cell r="K980" t="str">
            <v>Medium</v>
          </cell>
          <cell r="L980">
            <v>306</v>
          </cell>
          <cell r="M980">
            <v>1670.355258000001</v>
          </cell>
        </row>
        <row r="981">
          <cell r="A981">
            <v>6</v>
          </cell>
          <cell r="B981">
            <v>2003</v>
          </cell>
          <cell r="C981">
            <v>1</v>
          </cell>
          <cell r="D981" t="str">
            <v>Production</v>
          </cell>
          <cell r="E981" t="str">
            <v>Oil</v>
          </cell>
          <cell r="F981" t="str">
            <v>Oil Sands</v>
          </cell>
          <cell r="G981">
            <v>0</v>
          </cell>
          <cell r="H981" t="str">
            <v>Production;Oil;Oil Sands</v>
          </cell>
          <cell r="I981" t="str">
            <v>Oil;Oil Sands;0;6</v>
          </cell>
          <cell r="J981" t="str">
            <v>AB</v>
          </cell>
          <cell r="K981" t="str">
            <v>Shallow</v>
          </cell>
          <cell r="L981">
            <v>11</v>
          </cell>
          <cell r="M981">
            <v>119.999996</v>
          </cell>
        </row>
        <row r="982">
          <cell r="A982">
            <v>6</v>
          </cell>
          <cell r="B982">
            <v>2003</v>
          </cell>
          <cell r="C982">
            <v>2</v>
          </cell>
          <cell r="D982" t="str">
            <v>Production</v>
          </cell>
          <cell r="E982" t="str">
            <v>Oil</v>
          </cell>
          <cell r="F982" t="str">
            <v>Oil Sands</v>
          </cell>
          <cell r="G982">
            <v>0</v>
          </cell>
          <cell r="H982" t="str">
            <v>Production;Oil;Oil Sands</v>
          </cell>
          <cell r="I982" t="str">
            <v>Oil;Oil Sands;0;6</v>
          </cell>
          <cell r="J982" t="str">
            <v>AB</v>
          </cell>
          <cell r="K982" t="str">
            <v>Deep</v>
          </cell>
          <cell r="L982">
            <v>1</v>
          </cell>
          <cell r="M982">
            <v>6</v>
          </cell>
        </row>
        <row r="983">
          <cell r="A983">
            <v>6</v>
          </cell>
          <cell r="B983">
            <v>2003</v>
          </cell>
          <cell r="C983">
            <v>2</v>
          </cell>
          <cell r="D983" t="str">
            <v>Production</v>
          </cell>
          <cell r="E983" t="str">
            <v>Oil</v>
          </cell>
          <cell r="F983" t="str">
            <v>Oil Sands</v>
          </cell>
          <cell r="G983">
            <v>0</v>
          </cell>
          <cell r="H983" t="str">
            <v>Production;Oil;Oil Sands</v>
          </cell>
          <cell r="I983" t="str">
            <v>Oil;Oil Sands;0;6</v>
          </cell>
          <cell r="J983" t="str">
            <v>AB</v>
          </cell>
          <cell r="K983" t="str">
            <v>Medium</v>
          </cell>
          <cell r="L983">
            <v>3</v>
          </cell>
          <cell r="M983">
            <v>19.5</v>
          </cell>
        </row>
        <row r="984">
          <cell r="A984">
            <v>6</v>
          </cell>
          <cell r="B984">
            <v>2004</v>
          </cell>
          <cell r="C984">
            <v>1</v>
          </cell>
          <cell r="D984" t="str">
            <v>Production</v>
          </cell>
          <cell r="E984" t="str">
            <v>Oil</v>
          </cell>
          <cell r="F984" t="str">
            <v>Oil Sands</v>
          </cell>
          <cell r="G984">
            <v>0</v>
          </cell>
          <cell r="H984" t="str">
            <v>Production;Oil;Oil Sands</v>
          </cell>
          <cell r="I984" t="str">
            <v>Oil;Oil Sands;0;6</v>
          </cell>
          <cell r="J984" t="str">
            <v>AB</v>
          </cell>
          <cell r="K984" t="str">
            <v>Deep</v>
          </cell>
          <cell r="L984">
            <v>49</v>
          </cell>
          <cell r="M984">
            <v>317.46964370000001</v>
          </cell>
        </row>
        <row r="985">
          <cell r="A985">
            <v>6</v>
          </cell>
          <cell r="B985">
            <v>2004</v>
          </cell>
          <cell r="C985">
            <v>1</v>
          </cell>
          <cell r="D985" t="str">
            <v>Production</v>
          </cell>
          <cell r="E985" t="str">
            <v>Oil</v>
          </cell>
          <cell r="F985" t="str">
            <v>Oil Sands</v>
          </cell>
          <cell r="G985">
            <v>0</v>
          </cell>
          <cell r="H985" t="str">
            <v>Production;Oil;Oil Sands</v>
          </cell>
          <cell r="I985" t="str">
            <v>Oil;Oil Sands;0;6</v>
          </cell>
          <cell r="J985" t="str">
            <v>AB</v>
          </cell>
          <cell r="K985" t="str">
            <v>Medium</v>
          </cell>
          <cell r="L985">
            <v>320</v>
          </cell>
          <cell r="M985">
            <v>1758.7250976999992</v>
          </cell>
        </row>
        <row r="986">
          <cell r="A986">
            <v>6</v>
          </cell>
          <cell r="B986">
            <v>2004</v>
          </cell>
          <cell r="C986">
            <v>1</v>
          </cell>
          <cell r="D986" t="str">
            <v>Production</v>
          </cell>
          <cell r="E986" t="str">
            <v>Oil</v>
          </cell>
          <cell r="F986" t="str">
            <v>Oil Sands</v>
          </cell>
          <cell r="G986">
            <v>0</v>
          </cell>
          <cell r="H986" t="str">
            <v>Production;Oil;Oil Sands</v>
          </cell>
          <cell r="I986" t="str">
            <v>Oil;Oil Sands;0;6</v>
          </cell>
          <cell r="J986" t="str">
            <v>AB</v>
          </cell>
          <cell r="K986" t="str">
            <v>Shallow</v>
          </cell>
          <cell r="L986">
            <v>24</v>
          </cell>
          <cell r="M986">
            <v>105.66666599999999</v>
          </cell>
        </row>
        <row r="987">
          <cell r="A987">
            <v>6</v>
          </cell>
          <cell r="B987">
            <v>2004</v>
          </cell>
          <cell r="C987">
            <v>2</v>
          </cell>
          <cell r="D987" t="str">
            <v>Production</v>
          </cell>
          <cell r="E987" t="str">
            <v>Oil</v>
          </cell>
          <cell r="F987" t="str">
            <v>Oil Sands</v>
          </cell>
          <cell r="G987">
            <v>0</v>
          </cell>
          <cell r="H987" t="str">
            <v>Production;Oil;Oil Sands</v>
          </cell>
          <cell r="I987" t="str">
            <v>Oil;Oil Sands;0;6</v>
          </cell>
          <cell r="J987" t="str">
            <v>AB</v>
          </cell>
          <cell r="K987" t="str">
            <v>Deep</v>
          </cell>
          <cell r="L987">
            <v>5</v>
          </cell>
          <cell r="M987">
            <v>28</v>
          </cell>
        </row>
        <row r="988">
          <cell r="A988">
            <v>6</v>
          </cell>
          <cell r="B988">
            <v>2005</v>
          </cell>
          <cell r="C988">
            <v>1</v>
          </cell>
          <cell r="D988" t="str">
            <v>Production</v>
          </cell>
          <cell r="E988" t="str">
            <v>Oil</v>
          </cell>
          <cell r="F988" t="str">
            <v>Oil Sands</v>
          </cell>
          <cell r="G988">
            <v>0</v>
          </cell>
          <cell r="H988" t="str">
            <v>Production;Oil;Oil Sands</v>
          </cell>
          <cell r="I988" t="str">
            <v>Oil;Oil Sands;0;6</v>
          </cell>
          <cell r="J988" t="str">
            <v>AB</v>
          </cell>
          <cell r="K988" t="str">
            <v>Deep</v>
          </cell>
          <cell r="L988">
            <v>53</v>
          </cell>
          <cell r="M988">
            <v>418.49318529999999</v>
          </cell>
        </row>
        <row r="989">
          <cell r="A989">
            <v>6</v>
          </cell>
          <cell r="B989">
            <v>2005</v>
          </cell>
          <cell r="C989">
            <v>1</v>
          </cell>
          <cell r="D989" t="str">
            <v>Production</v>
          </cell>
          <cell r="E989" t="str">
            <v>Oil</v>
          </cell>
          <cell r="F989" t="str">
            <v>Oil Sands</v>
          </cell>
          <cell r="G989">
            <v>0</v>
          </cell>
          <cell r="H989" t="str">
            <v>Production;Oil;Oil Sands</v>
          </cell>
          <cell r="I989" t="str">
            <v>Oil;Oil Sands;0;6</v>
          </cell>
          <cell r="J989" t="str">
            <v>AB</v>
          </cell>
          <cell r="K989" t="str">
            <v>Medium</v>
          </cell>
          <cell r="L989">
            <v>444</v>
          </cell>
          <cell r="M989">
            <v>2493.6556017999992</v>
          </cell>
        </row>
        <row r="990">
          <cell r="A990">
            <v>6</v>
          </cell>
          <cell r="B990">
            <v>2005</v>
          </cell>
          <cell r="C990">
            <v>1</v>
          </cell>
          <cell r="D990" t="str">
            <v>Production</v>
          </cell>
          <cell r="E990" t="str">
            <v>Oil</v>
          </cell>
          <cell r="F990" t="str">
            <v>Oil Sands</v>
          </cell>
          <cell r="G990">
            <v>0</v>
          </cell>
          <cell r="H990" t="str">
            <v>Production;Oil;Oil Sands</v>
          </cell>
          <cell r="I990" t="str">
            <v>Oil;Oil Sands;0;6</v>
          </cell>
          <cell r="J990" t="str">
            <v>AB</v>
          </cell>
          <cell r="K990" t="str">
            <v>Shallow</v>
          </cell>
          <cell r="L990">
            <v>54</v>
          </cell>
          <cell r="M990">
            <v>334.26747349999994</v>
          </cell>
        </row>
        <row r="991">
          <cell r="A991">
            <v>6</v>
          </cell>
          <cell r="B991">
            <v>2006</v>
          </cell>
          <cell r="C991">
            <v>1</v>
          </cell>
          <cell r="D991" t="str">
            <v>Production</v>
          </cell>
          <cell r="E991" t="str">
            <v>Oil</v>
          </cell>
          <cell r="F991" t="str">
            <v>Oil Sands</v>
          </cell>
          <cell r="G991">
            <v>0</v>
          </cell>
          <cell r="H991" t="str">
            <v>Production;Oil;Oil Sands</v>
          </cell>
          <cell r="I991" t="str">
            <v>Oil;Oil Sands;0;6</v>
          </cell>
          <cell r="J991" t="str">
            <v>AB</v>
          </cell>
          <cell r="K991" t="str">
            <v>Deep</v>
          </cell>
          <cell r="L991">
            <v>77</v>
          </cell>
          <cell r="M991">
            <v>369.83507800000007</v>
          </cell>
        </row>
        <row r="992">
          <cell r="A992">
            <v>6</v>
          </cell>
          <cell r="B992">
            <v>2006</v>
          </cell>
          <cell r="C992">
            <v>1</v>
          </cell>
          <cell r="D992" t="str">
            <v>Production</v>
          </cell>
          <cell r="E992" t="str">
            <v>Oil</v>
          </cell>
          <cell r="F992" t="str">
            <v>Oil Sands</v>
          </cell>
          <cell r="G992">
            <v>0</v>
          </cell>
          <cell r="H992" t="str">
            <v>Production;Oil;Oil Sands</v>
          </cell>
          <cell r="I992" t="str">
            <v>Oil;Oil Sands;0;6</v>
          </cell>
          <cell r="J992" t="str">
            <v>AB</v>
          </cell>
          <cell r="K992" t="str">
            <v>Medium</v>
          </cell>
          <cell r="L992">
            <v>311</v>
          </cell>
          <cell r="M992">
            <v>1883.9769534000006</v>
          </cell>
        </row>
        <row r="993">
          <cell r="A993">
            <v>6</v>
          </cell>
          <cell r="B993">
            <v>2006</v>
          </cell>
          <cell r="C993">
            <v>1</v>
          </cell>
          <cell r="D993" t="str">
            <v>Production</v>
          </cell>
          <cell r="E993" t="str">
            <v>Oil</v>
          </cell>
          <cell r="F993" t="str">
            <v>Oil Sands</v>
          </cell>
          <cell r="G993">
            <v>0</v>
          </cell>
          <cell r="H993" t="str">
            <v>Production;Oil;Oil Sands</v>
          </cell>
          <cell r="I993" t="str">
            <v>Oil;Oil Sands;0;6</v>
          </cell>
          <cell r="J993" t="str">
            <v>AB</v>
          </cell>
          <cell r="K993" t="str">
            <v>Shallow</v>
          </cell>
          <cell r="L993">
            <v>22</v>
          </cell>
          <cell r="M993">
            <v>191.445988</v>
          </cell>
        </row>
        <row r="994">
          <cell r="A994">
            <v>6</v>
          </cell>
          <cell r="B994">
            <v>2006</v>
          </cell>
          <cell r="C994">
            <v>2</v>
          </cell>
          <cell r="D994" t="str">
            <v>Production</v>
          </cell>
          <cell r="E994" t="str">
            <v>Oil</v>
          </cell>
          <cell r="F994" t="str">
            <v>Oil Sands</v>
          </cell>
          <cell r="G994">
            <v>0</v>
          </cell>
          <cell r="H994" t="str">
            <v>Production;Oil;Oil Sands</v>
          </cell>
          <cell r="I994" t="str">
            <v>Oil;Oil Sands;0;6</v>
          </cell>
          <cell r="J994" t="str">
            <v>AB</v>
          </cell>
          <cell r="K994" t="str">
            <v>Deep</v>
          </cell>
          <cell r="L994">
            <v>1</v>
          </cell>
          <cell r="M994">
            <v>7</v>
          </cell>
        </row>
        <row r="995">
          <cell r="A995">
            <v>6</v>
          </cell>
          <cell r="B995">
            <v>2007</v>
          </cell>
          <cell r="C995">
            <v>1</v>
          </cell>
          <cell r="D995" t="str">
            <v>Production</v>
          </cell>
          <cell r="E995" t="str">
            <v>Oil</v>
          </cell>
          <cell r="F995" t="str">
            <v>Oil Sands</v>
          </cell>
          <cell r="G995">
            <v>0</v>
          </cell>
          <cell r="H995" t="str">
            <v>Production;Oil;Oil Sands</v>
          </cell>
          <cell r="I995" t="str">
            <v>Oil;Oil Sands;0;6</v>
          </cell>
          <cell r="J995" t="str">
            <v>AB</v>
          </cell>
          <cell r="K995" t="str">
            <v>Deep</v>
          </cell>
          <cell r="L995">
            <v>37</v>
          </cell>
          <cell r="M995">
            <v>770.82023699999991</v>
          </cell>
        </row>
        <row r="996">
          <cell r="A996">
            <v>6</v>
          </cell>
          <cell r="B996">
            <v>2007</v>
          </cell>
          <cell r="C996">
            <v>1</v>
          </cell>
          <cell r="D996" t="str">
            <v>Production</v>
          </cell>
          <cell r="E996" t="str">
            <v>Oil</v>
          </cell>
          <cell r="F996" t="str">
            <v>Oil Sands</v>
          </cell>
          <cell r="G996">
            <v>0</v>
          </cell>
          <cell r="H996" t="str">
            <v>Production;Oil;Oil Sands</v>
          </cell>
          <cell r="I996" t="str">
            <v>Oil;Oil Sands;0;6</v>
          </cell>
          <cell r="J996" t="str">
            <v>AB</v>
          </cell>
          <cell r="K996" t="str">
            <v>Medium</v>
          </cell>
          <cell r="L996">
            <v>94</v>
          </cell>
          <cell r="M996">
            <v>600.20317499999999</v>
          </cell>
        </row>
        <row r="997">
          <cell r="A997">
            <v>6</v>
          </cell>
          <cell r="B997">
            <v>2007</v>
          </cell>
          <cell r="C997">
            <v>1</v>
          </cell>
          <cell r="D997" t="str">
            <v>Production</v>
          </cell>
          <cell r="E997" t="str">
            <v>Oil</v>
          </cell>
          <cell r="F997" t="str">
            <v>Oil Sands</v>
          </cell>
          <cell r="G997">
            <v>0</v>
          </cell>
          <cell r="H997" t="str">
            <v>Production;Oil;Oil Sands</v>
          </cell>
          <cell r="I997" t="str">
            <v>Oil;Oil Sands;0;6</v>
          </cell>
          <cell r="J997" t="str">
            <v>AB</v>
          </cell>
          <cell r="K997" t="str">
            <v>Shallow</v>
          </cell>
          <cell r="L997">
            <v>9</v>
          </cell>
          <cell r="M997">
            <v>61</v>
          </cell>
        </row>
        <row r="998">
          <cell r="A998">
            <v>7</v>
          </cell>
          <cell r="B998">
            <v>2000</v>
          </cell>
          <cell r="C998">
            <v>1</v>
          </cell>
          <cell r="D998" t="str">
            <v>Production</v>
          </cell>
          <cell r="E998" t="str">
            <v>Oil</v>
          </cell>
          <cell r="F998" t="str">
            <v>Oil Sands</v>
          </cell>
          <cell r="G998">
            <v>0</v>
          </cell>
          <cell r="H998" t="str">
            <v>Production;Oil;Oil Sands</v>
          </cell>
          <cell r="I998" t="str">
            <v>Oil;Oil Sands;0;7</v>
          </cell>
          <cell r="J998" t="str">
            <v>AB</v>
          </cell>
          <cell r="K998" t="str">
            <v>Medium</v>
          </cell>
          <cell r="L998">
            <v>4</v>
          </cell>
          <cell r="M998">
            <v>60</v>
          </cell>
        </row>
        <row r="999">
          <cell r="A999">
            <v>7</v>
          </cell>
          <cell r="B999">
            <v>2000</v>
          </cell>
          <cell r="C999">
            <v>1</v>
          </cell>
          <cell r="D999" t="str">
            <v>Production</v>
          </cell>
          <cell r="E999" t="str">
            <v>Oil</v>
          </cell>
          <cell r="F999" t="str">
            <v>Oil Sands</v>
          </cell>
          <cell r="G999">
            <v>0</v>
          </cell>
          <cell r="H999" t="str">
            <v>Production;Oil;Oil Sands</v>
          </cell>
          <cell r="I999" t="str">
            <v>Oil;Oil Sands;0;7</v>
          </cell>
          <cell r="J999" t="str">
            <v>AB</v>
          </cell>
          <cell r="K999" t="str">
            <v>Shallow</v>
          </cell>
          <cell r="L999">
            <v>3</v>
          </cell>
          <cell r="M999">
            <v>14</v>
          </cell>
        </row>
        <row r="1000">
          <cell r="A1000">
            <v>7</v>
          </cell>
          <cell r="B1000">
            <v>2000</v>
          </cell>
          <cell r="C1000">
            <v>2</v>
          </cell>
          <cell r="D1000" t="str">
            <v>Production</v>
          </cell>
          <cell r="E1000" t="str">
            <v>Oil</v>
          </cell>
          <cell r="F1000" t="str">
            <v>Oil Sands</v>
          </cell>
          <cell r="G1000">
            <v>0</v>
          </cell>
          <cell r="H1000" t="str">
            <v>Production;Oil;Oil Sands</v>
          </cell>
          <cell r="I1000" t="str">
            <v>Oil;Oil Sands;0;7</v>
          </cell>
          <cell r="J1000" t="str">
            <v>AB</v>
          </cell>
          <cell r="K1000" t="str">
            <v>Medium</v>
          </cell>
          <cell r="L1000">
            <v>1</v>
          </cell>
          <cell r="M1000">
            <v>22</v>
          </cell>
        </row>
        <row r="1001">
          <cell r="A1001">
            <v>7</v>
          </cell>
          <cell r="B1001">
            <v>2000</v>
          </cell>
          <cell r="C1001">
            <v>3</v>
          </cell>
          <cell r="D1001" t="str">
            <v>Production</v>
          </cell>
          <cell r="E1001" t="str">
            <v>Oil</v>
          </cell>
          <cell r="F1001" t="str">
            <v>Oil Sands</v>
          </cell>
          <cell r="G1001">
            <v>0</v>
          </cell>
          <cell r="H1001" t="str">
            <v>Production;Oil;Oil Sands</v>
          </cell>
          <cell r="I1001" t="str">
            <v>Oil;Oil Sands;0;7</v>
          </cell>
          <cell r="J1001" t="str">
            <v>AB</v>
          </cell>
          <cell r="K1001" t="str">
            <v>Deep</v>
          </cell>
          <cell r="L1001">
            <v>1</v>
          </cell>
          <cell r="M1001">
            <v>10</v>
          </cell>
        </row>
        <row r="1002">
          <cell r="A1002">
            <v>7</v>
          </cell>
          <cell r="B1002">
            <v>2000</v>
          </cell>
          <cell r="C1002">
            <v>3</v>
          </cell>
          <cell r="D1002" t="str">
            <v>Production</v>
          </cell>
          <cell r="E1002" t="str">
            <v>Oil</v>
          </cell>
          <cell r="F1002" t="str">
            <v>Oil Sands</v>
          </cell>
          <cell r="G1002">
            <v>0</v>
          </cell>
          <cell r="H1002" t="str">
            <v>Production;Oil;Oil Sands</v>
          </cell>
          <cell r="I1002" t="str">
            <v>Oil;Oil Sands;0;7</v>
          </cell>
          <cell r="J1002" t="str">
            <v>AB</v>
          </cell>
          <cell r="K1002" t="str">
            <v>Medium</v>
          </cell>
          <cell r="L1002">
            <v>5</v>
          </cell>
          <cell r="M1002">
            <v>63</v>
          </cell>
        </row>
        <row r="1003">
          <cell r="A1003">
            <v>7</v>
          </cell>
          <cell r="B1003">
            <v>2000</v>
          </cell>
          <cell r="C1003">
            <v>3</v>
          </cell>
          <cell r="D1003" t="str">
            <v>Production</v>
          </cell>
          <cell r="E1003" t="str">
            <v>Oil</v>
          </cell>
          <cell r="F1003" t="str">
            <v>Oil Sands</v>
          </cell>
          <cell r="G1003">
            <v>0</v>
          </cell>
          <cell r="H1003" t="str">
            <v>Production;Oil;Oil Sands</v>
          </cell>
          <cell r="I1003" t="str">
            <v>Oil;Oil Sands;0;7</v>
          </cell>
          <cell r="J1003" t="str">
            <v>AB</v>
          </cell>
          <cell r="K1003" t="str">
            <v>Shallow</v>
          </cell>
          <cell r="L1003">
            <v>1</v>
          </cell>
          <cell r="M1003">
            <v>8</v>
          </cell>
        </row>
        <row r="1004">
          <cell r="A1004">
            <v>7</v>
          </cell>
          <cell r="B1004">
            <v>2001</v>
          </cell>
          <cell r="C1004">
            <v>1</v>
          </cell>
          <cell r="D1004" t="str">
            <v>Production</v>
          </cell>
          <cell r="E1004" t="str">
            <v>Oil</v>
          </cell>
          <cell r="F1004" t="str">
            <v>Oil Sands</v>
          </cell>
          <cell r="G1004">
            <v>0</v>
          </cell>
          <cell r="H1004" t="str">
            <v>Production;Oil;Oil Sands</v>
          </cell>
          <cell r="I1004" t="str">
            <v>Oil;Oil Sands;0;7</v>
          </cell>
          <cell r="J1004" t="str">
            <v>AB</v>
          </cell>
          <cell r="K1004" t="str">
            <v>MEDIUM</v>
          </cell>
          <cell r="L1004">
            <v>20</v>
          </cell>
          <cell r="M1004">
            <v>322</v>
          </cell>
        </row>
        <row r="1005">
          <cell r="A1005">
            <v>7</v>
          </cell>
          <cell r="B1005">
            <v>2001</v>
          </cell>
          <cell r="C1005">
            <v>1</v>
          </cell>
          <cell r="D1005" t="str">
            <v>Production</v>
          </cell>
          <cell r="E1005" t="str">
            <v>Oil</v>
          </cell>
          <cell r="F1005" t="str">
            <v>Oil Sands</v>
          </cell>
          <cell r="G1005">
            <v>0</v>
          </cell>
          <cell r="H1005" t="str">
            <v>Production;Oil;Oil Sands</v>
          </cell>
          <cell r="I1005" t="str">
            <v>Oil;Oil Sands;0;7</v>
          </cell>
          <cell r="J1005" t="str">
            <v>AB</v>
          </cell>
          <cell r="K1005" t="str">
            <v>Shallow</v>
          </cell>
          <cell r="L1005">
            <v>2</v>
          </cell>
          <cell r="M1005">
            <v>29</v>
          </cell>
        </row>
        <row r="1006">
          <cell r="A1006">
            <v>7</v>
          </cell>
          <cell r="B1006">
            <v>2001</v>
          </cell>
          <cell r="C1006">
            <v>2</v>
          </cell>
          <cell r="D1006" t="str">
            <v>Production</v>
          </cell>
          <cell r="E1006" t="str">
            <v>Oil</v>
          </cell>
          <cell r="F1006" t="str">
            <v>Oil Sands</v>
          </cell>
          <cell r="G1006">
            <v>0</v>
          </cell>
          <cell r="H1006" t="str">
            <v>Production;Oil;Oil Sands</v>
          </cell>
          <cell r="I1006" t="str">
            <v>Oil;Oil Sands;0;7</v>
          </cell>
          <cell r="J1006" t="str">
            <v>AB</v>
          </cell>
          <cell r="K1006" t="str">
            <v>Medium</v>
          </cell>
          <cell r="L1006">
            <v>3</v>
          </cell>
          <cell r="M1006">
            <v>39</v>
          </cell>
        </row>
        <row r="1007">
          <cell r="A1007">
            <v>7</v>
          </cell>
          <cell r="B1007">
            <v>2002</v>
          </cell>
          <cell r="C1007">
            <v>1</v>
          </cell>
          <cell r="D1007" t="str">
            <v>Production</v>
          </cell>
          <cell r="E1007" t="str">
            <v>Oil</v>
          </cell>
          <cell r="F1007" t="str">
            <v>Oil Sands</v>
          </cell>
          <cell r="G1007">
            <v>0</v>
          </cell>
          <cell r="H1007" t="str">
            <v>Production;Oil;Oil Sands</v>
          </cell>
          <cell r="I1007" t="str">
            <v>Oil;Oil Sands;0;7</v>
          </cell>
          <cell r="J1007" t="str">
            <v>AB</v>
          </cell>
          <cell r="K1007" t="str">
            <v>MEDIUM</v>
          </cell>
          <cell r="L1007">
            <v>15</v>
          </cell>
          <cell r="M1007">
            <v>202</v>
          </cell>
        </row>
        <row r="1008">
          <cell r="A1008">
            <v>7</v>
          </cell>
          <cell r="B1008">
            <v>2002</v>
          </cell>
          <cell r="C1008">
            <v>1</v>
          </cell>
          <cell r="D1008" t="str">
            <v>Production</v>
          </cell>
          <cell r="E1008" t="str">
            <v>Oil</v>
          </cell>
          <cell r="F1008" t="str">
            <v>Oil Sands</v>
          </cell>
          <cell r="G1008">
            <v>0</v>
          </cell>
          <cell r="H1008" t="str">
            <v>Production;Oil;Oil Sands</v>
          </cell>
          <cell r="I1008" t="str">
            <v>Oil;Oil Sands;0;7</v>
          </cell>
          <cell r="J1008" t="str">
            <v>AB</v>
          </cell>
          <cell r="K1008" t="str">
            <v>Shallow</v>
          </cell>
          <cell r="L1008">
            <v>4</v>
          </cell>
          <cell r="M1008">
            <v>25</v>
          </cell>
        </row>
        <row r="1009">
          <cell r="A1009">
            <v>7</v>
          </cell>
          <cell r="B1009">
            <v>2003</v>
          </cell>
          <cell r="C1009">
            <v>1</v>
          </cell>
          <cell r="D1009" t="str">
            <v>Production</v>
          </cell>
          <cell r="E1009" t="str">
            <v>Oil</v>
          </cell>
          <cell r="F1009" t="str">
            <v>Oil Sands</v>
          </cell>
          <cell r="G1009">
            <v>0</v>
          </cell>
          <cell r="H1009" t="str">
            <v>Production;Oil;Oil Sands</v>
          </cell>
          <cell r="I1009" t="str">
            <v>Oil;Oil Sands;0;7</v>
          </cell>
          <cell r="J1009" t="str">
            <v>AB</v>
          </cell>
          <cell r="K1009" t="str">
            <v>Medium</v>
          </cell>
          <cell r="L1009">
            <v>49</v>
          </cell>
          <cell r="M1009">
            <v>344.5</v>
          </cell>
        </row>
        <row r="1010">
          <cell r="A1010">
            <v>7</v>
          </cell>
          <cell r="B1010">
            <v>2003</v>
          </cell>
          <cell r="C1010">
            <v>1</v>
          </cell>
          <cell r="D1010" t="str">
            <v>Production</v>
          </cell>
          <cell r="E1010" t="str">
            <v>Oil</v>
          </cell>
          <cell r="F1010" t="str">
            <v>Oil Sands</v>
          </cell>
          <cell r="G1010">
            <v>0</v>
          </cell>
          <cell r="H1010" t="str">
            <v>Production;Oil;Oil Sands</v>
          </cell>
          <cell r="I1010" t="str">
            <v>Oil;Oil Sands;0;7</v>
          </cell>
          <cell r="J1010" t="str">
            <v>AB</v>
          </cell>
          <cell r="K1010" t="str">
            <v>Shallow</v>
          </cell>
          <cell r="L1010">
            <v>4</v>
          </cell>
          <cell r="M1010">
            <v>18.5</v>
          </cell>
        </row>
        <row r="1011">
          <cell r="A1011">
            <v>7</v>
          </cell>
          <cell r="B1011">
            <v>2003</v>
          </cell>
          <cell r="C1011">
            <v>2</v>
          </cell>
          <cell r="D1011" t="str">
            <v>Production</v>
          </cell>
          <cell r="E1011" t="str">
            <v>Oil</v>
          </cell>
          <cell r="F1011" t="str">
            <v>Oil Sands</v>
          </cell>
          <cell r="G1011">
            <v>0</v>
          </cell>
          <cell r="H1011" t="str">
            <v>Production;Oil;Oil Sands</v>
          </cell>
          <cell r="I1011" t="str">
            <v>Oil;Oil Sands;0;7</v>
          </cell>
          <cell r="J1011" t="str">
            <v>AB</v>
          </cell>
          <cell r="K1011" t="str">
            <v>Medium</v>
          </cell>
          <cell r="L1011">
            <v>2</v>
          </cell>
          <cell r="M1011">
            <v>20.333333</v>
          </cell>
        </row>
        <row r="1012">
          <cell r="A1012">
            <v>7</v>
          </cell>
          <cell r="B1012">
            <v>2004</v>
          </cell>
          <cell r="C1012">
            <v>1</v>
          </cell>
          <cell r="D1012" t="str">
            <v>Production</v>
          </cell>
          <cell r="E1012" t="str">
            <v>Oil</v>
          </cell>
          <cell r="F1012" t="str">
            <v>Oil Sands</v>
          </cell>
          <cell r="G1012">
            <v>0</v>
          </cell>
          <cell r="H1012" t="str">
            <v>Production;Oil;Oil Sands</v>
          </cell>
          <cell r="I1012" t="str">
            <v>Oil;Oil Sands;0;7</v>
          </cell>
          <cell r="J1012" t="str">
            <v>AB</v>
          </cell>
          <cell r="K1012" t="str">
            <v>Deep</v>
          </cell>
          <cell r="L1012">
            <v>1</v>
          </cell>
          <cell r="M1012">
            <v>12.83333</v>
          </cell>
        </row>
        <row r="1013">
          <cell r="A1013">
            <v>7</v>
          </cell>
          <cell r="B1013">
            <v>2004</v>
          </cell>
          <cell r="C1013">
            <v>1</v>
          </cell>
          <cell r="D1013" t="str">
            <v>Production</v>
          </cell>
          <cell r="E1013" t="str">
            <v>Oil</v>
          </cell>
          <cell r="F1013" t="str">
            <v>Oil Sands</v>
          </cell>
          <cell r="G1013">
            <v>0</v>
          </cell>
          <cell r="H1013" t="str">
            <v>Production;Oil;Oil Sands</v>
          </cell>
          <cell r="I1013" t="str">
            <v>Oil;Oil Sands;0;7</v>
          </cell>
          <cell r="J1013" t="str">
            <v>AB</v>
          </cell>
          <cell r="K1013" t="str">
            <v>Medium</v>
          </cell>
          <cell r="L1013">
            <v>117</v>
          </cell>
          <cell r="M1013">
            <v>895.03834800000004</v>
          </cell>
        </row>
        <row r="1014">
          <cell r="A1014">
            <v>7</v>
          </cell>
          <cell r="B1014">
            <v>2004</v>
          </cell>
          <cell r="C1014">
            <v>1</v>
          </cell>
          <cell r="D1014" t="str">
            <v>Production</v>
          </cell>
          <cell r="E1014" t="str">
            <v>Oil</v>
          </cell>
          <cell r="F1014" t="str">
            <v>Oil Sands</v>
          </cell>
          <cell r="G1014">
            <v>0</v>
          </cell>
          <cell r="H1014" t="str">
            <v>Production;Oil;Oil Sands</v>
          </cell>
          <cell r="I1014" t="str">
            <v>Oil;Oil Sands;0;7</v>
          </cell>
          <cell r="J1014" t="str">
            <v>AB</v>
          </cell>
          <cell r="K1014" t="str">
            <v>Shallow</v>
          </cell>
          <cell r="L1014">
            <v>3</v>
          </cell>
          <cell r="M1014">
            <v>13.5</v>
          </cell>
        </row>
        <row r="1015">
          <cell r="A1015">
            <v>7</v>
          </cell>
          <cell r="B1015">
            <v>2004</v>
          </cell>
          <cell r="C1015">
            <v>2</v>
          </cell>
          <cell r="D1015" t="str">
            <v>Production</v>
          </cell>
          <cell r="E1015" t="str">
            <v>Oil</v>
          </cell>
          <cell r="F1015" t="str">
            <v>Oil Sands</v>
          </cell>
          <cell r="G1015">
            <v>0</v>
          </cell>
          <cell r="H1015" t="str">
            <v>Production;Oil;Oil Sands</v>
          </cell>
          <cell r="I1015" t="str">
            <v>Oil;Oil Sands;0;7</v>
          </cell>
          <cell r="J1015" t="str">
            <v>AB</v>
          </cell>
          <cell r="K1015" t="str">
            <v>Medium</v>
          </cell>
          <cell r="L1015">
            <v>2</v>
          </cell>
          <cell r="M1015">
            <v>11</v>
          </cell>
        </row>
        <row r="1016">
          <cell r="A1016">
            <v>7</v>
          </cell>
          <cell r="B1016">
            <v>2004</v>
          </cell>
          <cell r="C1016">
            <v>3</v>
          </cell>
          <cell r="D1016" t="str">
            <v>Production</v>
          </cell>
          <cell r="E1016" t="str">
            <v>Oil</v>
          </cell>
          <cell r="F1016" t="str">
            <v>Oil Sands</v>
          </cell>
          <cell r="G1016">
            <v>0</v>
          </cell>
          <cell r="H1016" t="str">
            <v>Production;Oil;Oil Sands</v>
          </cell>
          <cell r="I1016" t="str">
            <v>Oil;Oil Sands;0;7</v>
          </cell>
          <cell r="J1016" t="str">
            <v>AB</v>
          </cell>
          <cell r="K1016" t="str">
            <v>Medium</v>
          </cell>
          <cell r="L1016">
            <v>1</v>
          </cell>
          <cell r="M1016">
            <v>2</v>
          </cell>
        </row>
        <row r="1017">
          <cell r="A1017">
            <v>7</v>
          </cell>
          <cell r="B1017">
            <v>2005</v>
          </cell>
          <cell r="C1017">
            <v>1</v>
          </cell>
          <cell r="D1017" t="str">
            <v>Production</v>
          </cell>
          <cell r="E1017" t="str">
            <v>Oil</v>
          </cell>
          <cell r="F1017" t="str">
            <v>Oil Sands</v>
          </cell>
          <cell r="G1017">
            <v>0</v>
          </cell>
          <cell r="H1017" t="str">
            <v>Production;Oil;Oil Sands</v>
          </cell>
          <cell r="I1017" t="str">
            <v>Oil;Oil Sands;0;7</v>
          </cell>
          <cell r="J1017" t="str">
            <v>AB</v>
          </cell>
          <cell r="K1017" t="str">
            <v>Deep</v>
          </cell>
          <cell r="L1017">
            <v>56</v>
          </cell>
          <cell r="M1017">
            <v>333.71218800000003</v>
          </cell>
        </row>
        <row r="1018">
          <cell r="A1018">
            <v>7</v>
          </cell>
          <cell r="B1018">
            <v>2005</v>
          </cell>
          <cell r="C1018">
            <v>1</v>
          </cell>
          <cell r="D1018" t="str">
            <v>Production</v>
          </cell>
          <cell r="E1018" t="str">
            <v>Oil</v>
          </cell>
          <cell r="F1018" t="str">
            <v>Oil Sands</v>
          </cell>
          <cell r="G1018">
            <v>0</v>
          </cell>
          <cell r="H1018" t="str">
            <v>Production;Oil;Oil Sands</v>
          </cell>
          <cell r="I1018" t="str">
            <v>Oil;Oil Sands;0;7</v>
          </cell>
          <cell r="J1018" t="str">
            <v>AB</v>
          </cell>
          <cell r="K1018" t="str">
            <v>Medium</v>
          </cell>
          <cell r="L1018">
            <v>64</v>
          </cell>
          <cell r="M1018">
            <v>500.80000100000007</v>
          </cell>
        </row>
        <row r="1019">
          <cell r="A1019">
            <v>7</v>
          </cell>
          <cell r="B1019">
            <v>2005</v>
          </cell>
          <cell r="C1019">
            <v>1</v>
          </cell>
          <cell r="D1019" t="str">
            <v>Production</v>
          </cell>
          <cell r="E1019" t="str">
            <v>Oil</v>
          </cell>
          <cell r="F1019" t="str">
            <v>Oil Sands</v>
          </cell>
          <cell r="G1019">
            <v>0</v>
          </cell>
          <cell r="H1019" t="str">
            <v>Production;Oil;Oil Sands</v>
          </cell>
          <cell r="I1019" t="str">
            <v>Oil;Oil Sands;0;7</v>
          </cell>
          <cell r="J1019" t="str">
            <v>AB</v>
          </cell>
          <cell r="K1019" t="str">
            <v>Shallow</v>
          </cell>
          <cell r="L1019">
            <v>6</v>
          </cell>
          <cell r="M1019">
            <v>33</v>
          </cell>
        </row>
        <row r="1020">
          <cell r="A1020">
            <v>7</v>
          </cell>
          <cell r="B1020">
            <v>2005</v>
          </cell>
          <cell r="C1020">
            <v>2</v>
          </cell>
          <cell r="D1020" t="str">
            <v>Production</v>
          </cell>
          <cell r="E1020" t="str">
            <v>Oil</v>
          </cell>
          <cell r="F1020" t="str">
            <v>Oil Sands</v>
          </cell>
          <cell r="G1020">
            <v>0</v>
          </cell>
          <cell r="H1020" t="str">
            <v>Production;Oil;Oil Sands</v>
          </cell>
          <cell r="I1020" t="str">
            <v>Oil;Oil Sands;0;7</v>
          </cell>
          <cell r="J1020" t="str">
            <v>AB</v>
          </cell>
          <cell r="K1020" t="str">
            <v>Medium</v>
          </cell>
          <cell r="L1020">
            <v>1</v>
          </cell>
          <cell r="M1020">
            <v>4</v>
          </cell>
        </row>
        <row r="1021">
          <cell r="A1021">
            <v>7</v>
          </cell>
          <cell r="B1021">
            <v>2006</v>
          </cell>
          <cell r="C1021">
            <v>1</v>
          </cell>
          <cell r="D1021" t="str">
            <v>Production</v>
          </cell>
          <cell r="E1021" t="str">
            <v>Oil</v>
          </cell>
          <cell r="F1021" t="str">
            <v>Oil Sands</v>
          </cell>
          <cell r="G1021">
            <v>0</v>
          </cell>
          <cell r="H1021" t="str">
            <v>Production;Oil;Oil Sands</v>
          </cell>
          <cell r="I1021" t="str">
            <v>Oil;Oil Sands;0;7</v>
          </cell>
          <cell r="J1021" t="str">
            <v>AB</v>
          </cell>
          <cell r="K1021" t="str">
            <v>Deep</v>
          </cell>
          <cell r="L1021">
            <v>110</v>
          </cell>
          <cell r="M1021">
            <v>965.98438499999997</v>
          </cell>
        </row>
        <row r="1022">
          <cell r="A1022">
            <v>7</v>
          </cell>
          <cell r="B1022">
            <v>2006</v>
          </cell>
          <cell r="C1022">
            <v>1</v>
          </cell>
          <cell r="D1022" t="str">
            <v>Production</v>
          </cell>
          <cell r="E1022" t="str">
            <v>Oil</v>
          </cell>
          <cell r="F1022" t="str">
            <v>Oil Sands</v>
          </cell>
          <cell r="G1022">
            <v>0</v>
          </cell>
          <cell r="H1022" t="str">
            <v>Production;Oil;Oil Sands</v>
          </cell>
          <cell r="I1022" t="str">
            <v>Oil;Oil Sands;0;7</v>
          </cell>
          <cell r="J1022" t="str">
            <v>AB</v>
          </cell>
          <cell r="K1022" t="str">
            <v>Medium</v>
          </cell>
          <cell r="L1022">
            <v>32</v>
          </cell>
          <cell r="M1022">
            <v>436.89998600000001</v>
          </cell>
        </row>
        <row r="1023">
          <cell r="A1023">
            <v>7</v>
          </cell>
          <cell r="B1023">
            <v>2006</v>
          </cell>
          <cell r="C1023">
            <v>1</v>
          </cell>
          <cell r="D1023" t="str">
            <v>Production</v>
          </cell>
          <cell r="E1023" t="str">
            <v>Oil</v>
          </cell>
          <cell r="F1023" t="str">
            <v>Oil Sands</v>
          </cell>
          <cell r="G1023">
            <v>0</v>
          </cell>
          <cell r="H1023" t="str">
            <v>Production;Oil;Oil Sands</v>
          </cell>
          <cell r="I1023" t="str">
            <v>Oil;Oil Sands;0;7</v>
          </cell>
          <cell r="J1023" t="str">
            <v>AB</v>
          </cell>
          <cell r="K1023" t="str">
            <v>Shallow</v>
          </cell>
          <cell r="L1023">
            <v>15</v>
          </cell>
          <cell r="M1023">
            <v>92.5</v>
          </cell>
        </row>
        <row r="1024">
          <cell r="A1024">
            <v>7</v>
          </cell>
          <cell r="B1024">
            <v>2006</v>
          </cell>
          <cell r="C1024">
            <v>2</v>
          </cell>
          <cell r="D1024" t="str">
            <v>Production</v>
          </cell>
          <cell r="E1024" t="str">
            <v>Oil</v>
          </cell>
          <cell r="F1024" t="str">
            <v>Oil Sands</v>
          </cell>
          <cell r="G1024">
            <v>0</v>
          </cell>
          <cell r="H1024" t="str">
            <v>Production;Oil;Oil Sands</v>
          </cell>
          <cell r="I1024" t="str">
            <v>Oil;Oil Sands;0;7</v>
          </cell>
          <cell r="J1024" t="str">
            <v>AB</v>
          </cell>
          <cell r="K1024" t="str">
            <v>Deep</v>
          </cell>
          <cell r="L1024">
            <v>1</v>
          </cell>
          <cell r="M1024">
            <v>10</v>
          </cell>
        </row>
        <row r="1025">
          <cell r="A1025">
            <v>7</v>
          </cell>
          <cell r="B1025">
            <v>2006</v>
          </cell>
          <cell r="C1025">
            <v>2</v>
          </cell>
          <cell r="D1025" t="str">
            <v>Production</v>
          </cell>
          <cell r="E1025" t="str">
            <v>Oil</v>
          </cell>
          <cell r="F1025" t="str">
            <v>Oil Sands</v>
          </cell>
          <cell r="G1025">
            <v>0</v>
          </cell>
          <cell r="H1025" t="str">
            <v>Production;Oil;Oil Sands</v>
          </cell>
          <cell r="I1025" t="str">
            <v>Oil;Oil Sands;0;7</v>
          </cell>
          <cell r="J1025" t="str">
            <v>AB</v>
          </cell>
          <cell r="K1025" t="str">
            <v>Medium</v>
          </cell>
          <cell r="L1025">
            <v>2</v>
          </cell>
          <cell r="M1025">
            <v>10</v>
          </cell>
        </row>
        <row r="1026">
          <cell r="A1026">
            <v>7</v>
          </cell>
          <cell r="B1026">
            <v>2007</v>
          </cell>
          <cell r="C1026">
            <v>1</v>
          </cell>
          <cell r="D1026" t="str">
            <v>Production</v>
          </cell>
          <cell r="E1026" t="str">
            <v>Oil</v>
          </cell>
          <cell r="F1026" t="str">
            <v>Oil Sands</v>
          </cell>
          <cell r="G1026">
            <v>0</v>
          </cell>
          <cell r="H1026" t="str">
            <v>Production;Oil;Oil Sands</v>
          </cell>
          <cell r="I1026" t="str">
            <v>Oil;Oil Sands;0;7</v>
          </cell>
          <cell r="J1026" t="str">
            <v>AB</v>
          </cell>
          <cell r="K1026" t="str">
            <v>Deep</v>
          </cell>
          <cell r="L1026">
            <v>38</v>
          </cell>
          <cell r="M1026">
            <v>225.99999600000001</v>
          </cell>
        </row>
        <row r="1027">
          <cell r="A1027">
            <v>7</v>
          </cell>
          <cell r="B1027">
            <v>2007</v>
          </cell>
          <cell r="C1027">
            <v>1</v>
          </cell>
          <cell r="D1027" t="str">
            <v>Production</v>
          </cell>
          <cell r="E1027" t="str">
            <v>Oil</v>
          </cell>
          <cell r="F1027" t="str">
            <v>Oil Sands</v>
          </cell>
          <cell r="G1027">
            <v>0</v>
          </cell>
          <cell r="H1027" t="str">
            <v>Production;Oil;Oil Sands</v>
          </cell>
          <cell r="I1027" t="str">
            <v>Oil;Oil Sands;0;7</v>
          </cell>
          <cell r="J1027" t="str">
            <v>AB</v>
          </cell>
          <cell r="K1027" t="str">
            <v>Medium</v>
          </cell>
          <cell r="L1027">
            <v>20</v>
          </cell>
          <cell r="M1027">
            <v>184</v>
          </cell>
        </row>
        <row r="1028">
          <cell r="A1028">
            <v>7</v>
          </cell>
          <cell r="B1028">
            <v>2007</v>
          </cell>
          <cell r="C1028">
            <v>1</v>
          </cell>
          <cell r="D1028" t="str">
            <v>Production</v>
          </cell>
          <cell r="E1028" t="str">
            <v>Oil</v>
          </cell>
          <cell r="F1028" t="str">
            <v>Oil Sands</v>
          </cell>
          <cell r="G1028">
            <v>0</v>
          </cell>
          <cell r="H1028" t="str">
            <v>Production;Oil;Oil Sands</v>
          </cell>
          <cell r="I1028" t="str">
            <v>Oil;Oil Sands;0;7</v>
          </cell>
          <cell r="J1028" t="str">
            <v>AB</v>
          </cell>
          <cell r="K1028" t="str">
            <v>Shallow</v>
          </cell>
          <cell r="L1028">
            <v>6</v>
          </cell>
          <cell r="M1028">
            <v>54</v>
          </cell>
        </row>
        <row r="1029">
          <cell r="A1029">
            <v>3</v>
          </cell>
          <cell r="B1029">
            <v>2004</v>
          </cell>
          <cell r="C1029">
            <v>1</v>
          </cell>
          <cell r="D1029" t="str">
            <v>Production</v>
          </cell>
          <cell r="E1029" t="str">
            <v>Unknown</v>
          </cell>
          <cell r="F1029" t="str">
            <v>Conventional</v>
          </cell>
          <cell r="G1029">
            <v>0</v>
          </cell>
          <cell r="H1029" t="str">
            <v>Production;Unknown;Conventional</v>
          </cell>
          <cell r="I1029" t="str">
            <v>Unknown;Conventional;0;3</v>
          </cell>
          <cell r="J1029" t="str">
            <v>AB</v>
          </cell>
          <cell r="K1029" t="str">
            <v>Medium</v>
          </cell>
          <cell r="L1029">
            <v>1</v>
          </cell>
          <cell r="M1029">
            <v>4</v>
          </cell>
        </row>
        <row r="1030">
          <cell r="A1030">
            <v>6</v>
          </cell>
          <cell r="B1030">
            <v>2006</v>
          </cell>
          <cell r="C1030">
            <v>1</v>
          </cell>
          <cell r="D1030" t="str">
            <v>Production</v>
          </cell>
          <cell r="E1030" t="str">
            <v>Unknown</v>
          </cell>
          <cell r="F1030" t="str">
            <v>Conventional</v>
          </cell>
          <cell r="G1030">
            <v>0</v>
          </cell>
          <cell r="H1030" t="str">
            <v>Production;Unknown;Conventional</v>
          </cell>
          <cell r="I1030" t="str">
            <v>Unknown;Conventional;0;6</v>
          </cell>
          <cell r="J1030" t="str">
            <v>AB</v>
          </cell>
          <cell r="K1030" t="str">
            <v>Shallow</v>
          </cell>
          <cell r="L1030">
            <v>1</v>
          </cell>
          <cell r="M1030">
            <v>148.91550000000001</v>
          </cell>
        </row>
        <row r="1031">
          <cell r="A1031">
            <v>8</v>
          </cell>
          <cell r="B1031">
            <v>2007</v>
          </cell>
          <cell r="C1031">
            <v>1</v>
          </cell>
          <cell r="D1031" t="str">
            <v>Production</v>
          </cell>
          <cell r="E1031" t="str">
            <v>Unknown</v>
          </cell>
          <cell r="F1031" t="str">
            <v>Conventional</v>
          </cell>
          <cell r="G1031">
            <v>0</v>
          </cell>
          <cell r="H1031" t="str">
            <v>Production;Unknown;Conventional</v>
          </cell>
          <cell r="I1031" t="str">
            <v>Unknown;Conventional;0;8</v>
          </cell>
          <cell r="J1031" t="str">
            <v>BC</v>
          </cell>
          <cell r="K1031" t="str">
            <v>Deep</v>
          </cell>
          <cell r="L1031">
            <v>11</v>
          </cell>
          <cell r="M1031">
            <v>172</v>
          </cell>
        </row>
        <row r="1032">
          <cell r="A1032">
            <v>8</v>
          </cell>
          <cell r="B1032">
            <v>2007</v>
          </cell>
          <cell r="C1032">
            <v>1</v>
          </cell>
          <cell r="D1032" t="str">
            <v>Production</v>
          </cell>
          <cell r="E1032" t="str">
            <v>Unknown</v>
          </cell>
          <cell r="F1032" t="str">
            <v>Conventional</v>
          </cell>
          <cell r="G1032">
            <v>0</v>
          </cell>
          <cell r="H1032" t="str">
            <v>Production;Unknown;Conventional</v>
          </cell>
          <cell r="I1032" t="str">
            <v>Unknown;Conventional;0;8</v>
          </cell>
          <cell r="J1032" t="str">
            <v>BC</v>
          </cell>
          <cell r="K1032" t="str">
            <v>Medium</v>
          </cell>
          <cell r="L1032">
            <v>2</v>
          </cell>
          <cell r="M1032">
            <v>24</v>
          </cell>
        </row>
        <row r="1033">
          <cell r="A1033">
            <v>9</v>
          </cell>
          <cell r="B1033">
            <v>2007</v>
          </cell>
          <cell r="C1033">
            <v>1</v>
          </cell>
          <cell r="D1033" t="str">
            <v>Production</v>
          </cell>
          <cell r="E1033" t="str">
            <v>Unknown</v>
          </cell>
          <cell r="F1033" t="str">
            <v>Conventional</v>
          </cell>
          <cell r="G1033">
            <v>0</v>
          </cell>
          <cell r="H1033" t="str">
            <v>Production;Unknown;Conventional</v>
          </cell>
          <cell r="I1033" t="str">
            <v>Unknown;Conventional;0;9</v>
          </cell>
          <cell r="J1033" t="str">
            <v>BC</v>
          </cell>
          <cell r="K1033" t="str">
            <v>Deep</v>
          </cell>
          <cell r="L1033">
            <v>4</v>
          </cell>
          <cell r="M1033">
            <v>75</v>
          </cell>
        </row>
        <row r="1034">
          <cell r="A1034">
            <v>9</v>
          </cell>
          <cell r="B1034">
            <v>2007</v>
          </cell>
          <cell r="C1034">
            <v>1</v>
          </cell>
          <cell r="D1034" t="str">
            <v>Production</v>
          </cell>
          <cell r="E1034" t="str">
            <v>Unknown</v>
          </cell>
          <cell r="F1034" t="str">
            <v>Conventional</v>
          </cell>
          <cell r="G1034">
            <v>0</v>
          </cell>
          <cell r="H1034" t="str">
            <v>Production;Unknown;Conventional</v>
          </cell>
          <cell r="I1034" t="str">
            <v>Unknown;Conventional;0;9</v>
          </cell>
          <cell r="J1034" t="str">
            <v>BC</v>
          </cell>
          <cell r="K1034" t="str">
            <v>Medium</v>
          </cell>
          <cell r="L1034">
            <v>3</v>
          </cell>
          <cell r="M1034">
            <v>28</v>
          </cell>
        </row>
        <row r="1035">
          <cell r="A1035">
            <v>10</v>
          </cell>
          <cell r="B1035">
            <v>2007</v>
          </cell>
          <cell r="C1035">
            <v>1</v>
          </cell>
          <cell r="D1035" t="str">
            <v>Production</v>
          </cell>
          <cell r="E1035" t="str">
            <v>Unknown</v>
          </cell>
          <cell r="F1035" t="str">
            <v>Conventional</v>
          </cell>
          <cell r="G1035">
            <v>0</v>
          </cell>
          <cell r="H1035" t="str">
            <v>Production;Unknown;Conventional</v>
          </cell>
          <cell r="I1035" t="str">
            <v>Unknown;Conventional;0;10</v>
          </cell>
          <cell r="J1035" t="str">
            <v>BC</v>
          </cell>
          <cell r="K1035" t="str">
            <v>Deep</v>
          </cell>
          <cell r="L1035">
            <v>1</v>
          </cell>
          <cell r="M1035">
            <v>35</v>
          </cell>
        </row>
        <row r="1036">
          <cell r="A1036">
            <v>11</v>
          </cell>
          <cell r="B1036">
            <v>2002</v>
          </cell>
          <cell r="C1036">
            <v>1</v>
          </cell>
          <cell r="D1036" t="str">
            <v>Production</v>
          </cell>
          <cell r="E1036" t="str">
            <v>Unknown</v>
          </cell>
          <cell r="F1036" t="str">
            <v>Conventional</v>
          </cell>
          <cell r="G1036">
            <v>0</v>
          </cell>
          <cell r="H1036" t="str">
            <v>Production;Unknown;Conventional</v>
          </cell>
          <cell r="I1036" t="str">
            <v>Unknown;Conventional;0;11</v>
          </cell>
          <cell r="J1036" t="str">
            <v>SK</v>
          </cell>
          <cell r="K1036" t="str">
            <v>Shallow</v>
          </cell>
          <cell r="L1036">
            <v>5</v>
          </cell>
          <cell r="M1036">
            <v>22</v>
          </cell>
        </row>
        <row r="1037">
          <cell r="A1037">
            <v>11</v>
          </cell>
          <cell r="B1037">
            <v>2003</v>
          </cell>
          <cell r="C1037">
            <v>1</v>
          </cell>
          <cell r="D1037" t="str">
            <v>Production</v>
          </cell>
          <cell r="E1037" t="str">
            <v>Unknown</v>
          </cell>
          <cell r="F1037" t="str">
            <v>Conventional</v>
          </cell>
          <cell r="G1037">
            <v>0</v>
          </cell>
          <cell r="H1037" t="str">
            <v>Production;Unknown;Conventional</v>
          </cell>
          <cell r="I1037" t="str">
            <v>Unknown;Conventional;0;11</v>
          </cell>
          <cell r="J1037" t="str">
            <v>SK</v>
          </cell>
          <cell r="K1037" t="str">
            <v>Shallow</v>
          </cell>
          <cell r="L1037">
            <v>3</v>
          </cell>
          <cell r="M1037">
            <v>9</v>
          </cell>
        </row>
        <row r="1038">
          <cell r="A1038">
            <v>11</v>
          </cell>
          <cell r="B1038">
            <v>2006</v>
          </cell>
          <cell r="C1038">
            <v>1</v>
          </cell>
          <cell r="D1038" t="str">
            <v>Production</v>
          </cell>
          <cell r="E1038" t="str">
            <v>Unknown</v>
          </cell>
          <cell r="F1038" t="str">
            <v>Conventional</v>
          </cell>
          <cell r="G1038">
            <v>0</v>
          </cell>
          <cell r="H1038" t="str">
            <v>Production;Unknown;Conventional</v>
          </cell>
          <cell r="I1038" t="str">
            <v>Unknown;Conventional;0;11</v>
          </cell>
          <cell r="J1038" t="str">
            <v>SK</v>
          </cell>
          <cell r="K1038" t="str">
            <v>Shallow</v>
          </cell>
          <cell r="L1038">
            <v>2</v>
          </cell>
          <cell r="M1038">
            <v>4</v>
          </cell>
        </row>
        <row r="1039">
          <cell r="A1039">
            <v>12</v>
          </cell>
          <cell r="B1039">
            <v>2002</v>
          </cell>
          <cell r="C1039">
            <v>1</v>
          </cell>
          <cell r="D1039" t="str">
            <v>Production</v>
          </cell>
          <cell r="E1039" t="str">
            <v>Unknown</v>
          </cell>
          <cell r="F1039" t="str">
            <v>Conventional</v>
          </cell>
          <cell r="G1039">
            <v>0</v>
          </cell>
          <cell r="H1039" t="str">
            <v>Production;Unknown;Conventional</v>
          </cell>
          <cell r="I1039" t="str">
            <v>Unknown;Conventional;0;12</v>
          </cell>
          <cell r="J1039" t="str">
            <v>SK</v>
          </cell>
          <cell r="K1039" t="str">
            <v>SHALLOW</v>
          </cell>
          <cell r="L1039">
            <v>1</v>
          </cell>
          <cell r="M1039">
            <v>3.5</v>
          </cell>
        </row>
        <row r="1040">
          <cell r="A1040">
            <v>13</v>
          </cell>
          <cell r="B1040">
            <v>2000</v>
          </cell>
          <cell r="C1040">
            <v>1</v>
          </cell>
          <cell r="D1040" t="str">
            <v>Production</v>
          </cell>
          <cell r="E1040" t="str">
            <v>Unknown</v>
          </cell>
          <cell r="F1040" t="str">
            <v>Conventional</v>
          </cell>
          <cell r="G1040">
            <v>0</v>
          </cell>
          <cell r="H1040" t="str">
            <v>Production;Unknown;Conventional</v>
          </cell>
          <cell r="I1040" t="str">
            <v>Unknown;Conventional;0;13</v>
          </cell>
          <cell r="J1040" t="str">
            <v>SK</v>
          </cell>
          <cell r="K1040" t="str">
            <v>Deep</v>
          </cell>
          <cell r="L1040">
            <v>1</v>
          </cell>
          <cell r="M1040">
            <v>35</v>
          </cell>
        </row>
        <row r="1041">
          <cell r="A1041">
            <v>13</v>
          </cell>
          <cell r="B1041">
            <v>2003</v>
          </cell>
          <cell r="C1041">
            <v>1</v>
          </cell>
          <cell r="D1041" t="str">
            <v>Production</v>
          </cell>
          <cell r="E1041" t="str">
            <v>Unknown</v>
          </cell>
          <cell r="F1041" t="str">
            <v>Conventional</v>
          </cell>
          <cell r="G1041">
            <v>0</v>
          </cell>
          <cell r="H1041" t="str">
            <v>Production;Unknown;Conventional</v>
          </cell>
          <cell r="I1041" t="str">
            <v>Unknown;Conventional;0;13</v>
          </cell>
          <cell r="J1041" t="str">
            <v>SK</v>
          </cell>
          <cell r="K1041" t="str">
            <v>Medium</v>
          </cell>
          <cell r="L1041">
            <v>1</v>
          </cell>
          <cell r="M1041">
            <v>7</v>
          </cell>
        </row>
        <row r="1042">
          <cell r="A1042">
            <v>13</v>
          </cell>
          <cell r="B1042">
            <v>2007</v>
          </cell>
          <cell r="C1042">
            <v>1</v>
          </cell>
          <cell r="D1042" t="str">
            <v>Production</v>
          </cell>
          <cell r="E1042" t="str">
            <v>Unknown</v>
          </cell>
          <cell r="F1042" t="str">
            <v>Conventional</v>
          </cell>
          <cell r="G1042">
            <v>0</v>
          </cell>
          <cell r="H1042" t="str">
            <v>Production;Unknown;Conventional</v>
          </cell>
          <cell r="I1042" t="str">
            <v>Unknown;Conventional;0;13</v>
          </cell>
          <cell r="J1042" t="str">
            <v>SK</v>
          </cell>
          <cell r="K1042" t="str">
            <v>Medium</v>
          </cell>
          <cell r="L1042">
            <v>1</v>
          </cell>
          <cell r="M1042">
            <v>7</v>
          </cell>
        </row>
        <row r="1043">
          <cell r="A1043">
            <v>1</v>
          </cell>
          <cell r="B1043">
            <v>2000</v>
          </cell>
          <cell r="C1043">
            <v>1</v>
          </cell>
          <cell r="D1043" t="str">
            <v>Production</v>
          </cell>
          <cell r="E1043" t="str">
            <v>Unknown- D&amp;C</v>
          </cell>
          <cell r="F1043" t="str">
            <v>Conventional</v>
          </cell>
          <cell r="G1043">
            <v>0</v>
          </cell>
          <cell r="H1043" t="str">
            <v>Production;Unknown- D&amp;C;Conventional</v>
          </cell>
          <cell r="I1043" t="str">
            <v>Unknown- D&amp;C;Conventional;0;1</v>
          </cell>
          <cell r="J1043" t="str">
            <v>AB</v>
          </cell>
          <cell r="K1043" t="str">
            <v>Deep</v>
          </cell>
          <cell r="L1043">
            <v>3</v>
          </cell>
          <cell r="M1043">
            <v>119</v>
          </cell>
        </row>
        <row r="1044">
          <cell r="A1044">
            <v>1</v>
          </cell>
          <cell r="B1044">
            <v>2000</v>
          </cell>
          <cell r="C1044">
            <v>2</v>
          </cell>
          <cell r="D1044" t="str">
            <v>Production</v>
          </cell>
          <cell r="E1044" t="str">
            <v>Unknown- D&amp;C</v>
          </cell>
          <cell r="F1044" t="str">
            <v>Conventional</v>
          </cell>
          <cell r="G1044">
            <v>0</v>
          </cell>
          <cell r="H1044" t="str">
            <v>Production;Unknown- D&amp;C;Conventional</v>
          </cell>
          <cell r="I1044" t="str">
            <v>Unknown- D&amp;C;Conventional;0;1</v>
          </cell>
          <cell r="J1044" t="str">
            <v>AB</v>
          </cell>
          <cell r="K1044" t="str">
            <v>Deep</v>
          </cell>
          <cell r="L1044">
            <v>1</v>
          </cell>
          <cell r="M1044">
            <v>36</v>
          </cell>
        </row>
        <row r="1045">
          <cell r="A1045">
            <v>1</v>
          </cell>
          <cell r="B1045">
            <v>2001</v>
          </cell>
          <cell r="C1045">
            <v>1</v>
          </cell>
          <cell r="D1045" t="str">
            <v>Production</v>
          </cell>
          <cell r="E1045" t="str">
            <v>Unknown- D&amp;C</v>
          </cell>
          <cell r="F1045" t="str">
            <v>Conventional</v>
          </cell>
          <cell r="G1045">
            <v>0</v>
          </cell>
          <cell r="H1045" t="str">
            <v>Production;Unknown- D&amp;C;Conventional</v>
          </cell>
          <cell r="I1045" t="str">
            <v>Unknown- D&amp;C;Conventional;0;1</v>
          </cell>
          <cell r="J1045" t="str">
            <v>AB</v>
          </cell>
          <cell r="K1045" t="str">
            <v>Deep</v>
          </cell>
          <cell r="L1045">
            <v>7</v>
          </cell>
          <cell r="M1045">
            <v>504</v>
          </cell>
        </row>
        <row r="1046">
          <cell r="A1046">
            <v>1</v>
          </cell>
          <cell r="B1046">
            <v>2002</v>
          </cell>
          <cell r="C1046">
            <v>1</v>
          </cell>
          <cell r="D1046" t="str">
            <v>Production</v>
          </cell>
          <cell r="E1046" t="str">
            <v>Unknown- D&amp;C</v>
          </cell>
          <cell r="F1046" t="str">
            <v>Conventional</v>
          </cell>
          <cell r="G1046">
            <v>0</v>
          </cell>
          <cell r="H1046" t="str">
            <v>Production;Unknown- D&amp;C;Conventional</v>
          </cell>
          <cell r="I1046" t="str">
            <v>Unknown- D&amp;C;Conventional;0;1</v>
          </cell>
          <cell r="J1046" t="str">
            <v>AB</v>
          </cell>
          <cell r="K1046" t="str">
            <v>Deep</v>
          </cell>
          <cell r="L1046">
            <v>4</v>
          </cell>
          <cell r="M1046">
            <v>206.33332999999999</v>
          </cell>
        </row>
        <row r="1047">
          <cell r="A1047">
            <v>1</v>
          </cell>
          <cell r="B1047">
            <v>2002</v>
          </cell>
          <cell r="C1047">
            <v>1</v>
          </cell>
          <cell r="D1047" t="str">
            <v>Production</v>
          </cell>
          <cell r="E1047" t="str">
            <v>Unknown- D&amp;C</v>
          </cell>
          <cell r="F1047" t="str">
            <v>Conventional</v>
          </cell>
          <cell r="G1047">
            <v>0</v>
          </cell>
          <cell r="H1047" t="str">
            <v>Production;Unknown- D&amp;C;Conventional</v>
          </cell>
          <cell r="I1047" t="str">
            <v>Unknown- D&amp;C;Conventional;0;1</v>
          </cell>
          <cell r="J1047" t="str">
            <v>AB</v>
          </cell>
          <cell r="K1047" t="str">
            <v>Medium</v>
          </cell>
          <cell r="L1047">
            <v>1</v>
          </cell>
          <cell r="M1047">
            <v>16.5</v>
          </cell>
        </row>
        <row r="1048">
          <cell r="A1048">
            <v>1</v>
          </cell>
          <cell r="B1048">
            <v>2002</v>
          </cell>
          <cell r="C1048">
            <v>2</v>
          </cell>
          <cell r="D1048" t="str">
            <v>Production</v>
          </cell>
          <cell r="E1048" t="str">
            <v>Unknown- D&amp;C</v>
          </cell>
          <cell r="F1048" t="str">
            <v>Conventional</v>
          </cell>
          <cell r="G1048">
            <v>0</v>
          </cell>
          <cell r="H1048" t="str">
            <v>Production;Unknown- D&amp;C;Conventional</v>
          </cell>
          <cell r="I1048" t="str">
            <v>Unknown- D&amp;C;Conventional;0;1</v>
          </cell>
          <cell r="J1048" t="str">
            <v>AB</v>
          </cell>
          <cell r="K1048" t="str">
            <v>Deep</v>
          </cell>
          <cell r="L1048">
            <v>1</v>
          </cell>
          <cell r="M1048">
            <v>33</v>
          </cell>
        </row>
        <row r="1049">
          <cell r="A1049">
            <v>1</v>
          </cell>
          <cell r="B1049">
            <v>2003</v>
          </cell>
          <cell r="C1049">
            <v>1</v>
          </cell>
          <cell r="D1049" t="str">
            <v>Production</v>
          </cell>
          <cell r="E1049" t="str">
            <v>Unknown- D&amp;C</v>
          </cell>
          <cell r="F1049" t="str">
            <v>Conventional</v>
          </cell>
          <cell r="G1049">
            <v>0</v>
          </cell>
          <cell r="H1049" t="str">
            <v>Production;Unknown- D&amp;C;Conventional</v>
          </cell>
          <cell r="I1049" t="str">
            <v>Unknown- D&amp;C;Conventional;0;1</v>
          </cell>
          <cell r="J1049" t="str">
            <v>AB</v>
          </cell>
          <cell r="K1049" t="str">
            <v>Deep</v>
          </cell>
          <cell r="L1049">
            <v>6</v>
          </cell>
          <cell r="M1049">
            <v>332</v>
          </cell>
        </row>
        <row r="1050">
          <cell r="A1050">
            <v>1</v>
          </cell>
          <cell r="B1050">
            <v>2003</v>
          </cell>
          <cell r="C1050">
            <v>1</v>
          </cell>
          <cell r="D1050" t="str">
            <v>Production</v>
          </cell>
          <cell r="E1050" t="str">
            <v>Unknown- D&amp;C</v>
          </cell>
          <cell r="F1050" t="str">
            <v>Conventional</v>
          </cell>
          <cell r="G1050">
            <v>0</v>
          </cell>
          <cell r="H1050" t="str">
            <v>Production;Unknown- D&amp;C;Conventional</v>
          </cell>
          <cell r="I1050" t="str">
            <v>Unknown- D&amp;C;Conventional;0;1</v>
          </cell>
          <cell r="J1050" t="str">
            <v>AB</v>
          </cell>
          <cell r="K1050" t="str">
            <v>Medium</v>
          </cell>
          <cell r="L1050">
            <v>3</v>
          </cell>
          <cell r="M1050">
            <v>51</v>
          </cell>
        </row>
        <row r="1051">
          <cell r="A1051">
            <v>1</v>
          </cell>
          <cell r="B1051">
            <v>2003</v>
          </cell>
          <cell r="C1051">
            <v>2</v>
          </cell>
          <cell r="D1051" t="str">
            <v>Production</v>
          </cell>
          <cell r="E1051" t="str">
            <v>Unknown- D&amp;C</v>
          </cell>
          <cell r="F1051" t="str">
            <v>Conventional</v>
          </cell>
          <cell r="G1051">
            <v>0</v>
          </cell>
          <cell r="H1051" t="str">
            <v>Production;Unknown- D&amp;C;Conventional</v>
          </cell>
          <cell r="I1051" t="str">
            <v>Unknown- D&amp;C;Conventional;0;1</v>
          </cell>
          <cell r="J1051" t="str">
            <v>AB</v>
          </cell>
          <cell r="K1051" t="str">
            <v>Deep</v>
          </cell>
          <cell r="L1051">
            <v>1</v>
          </cell>
          <cell r="M1051">
            <v>14</v>
          </cell>
        </row>
        <row r="1052">
          <cell r="A1052">
            <v>1</v>
          </cell>
          <cell r="B1052">
            <v>2004</v>
          </cell>
          <cell r="C1052">
            <v>1</v>
          </cell>
          <cell r="D1052" t="str">
            <v>Production</v>
          </cell>
          <cell r="E1052" t="str">
            <v>Unknown- D&amp;C</v>
          </cell>
          <cell r="F1052" t="str">
            <v>Conventional</v>
          </cell>
          <cell r="G1052">
            <v>0</v>
          </cell>
          <cell r="H1052" t="str">
            <v>Production;Unknown- D&amp;C;Conventional</v>
          </cell>
          <cell r="I1052" t="str">
            <v>Unknown- D&amp;C;Conventional;0;1</v>
          </cell>
          <cell r="J1052" t="str">
            <v>AB</v>
          </cell>
          <cell r="K1052" t="str">
            <v>Deep</v>
          </cell>
          <cell r="L1052">
            <v>5</v>
          </cell>
          <cell r="M1052">
            <v>258</v>
          </cell>
        </row>
        <row r="1053">
          <cell r="A1053">
            <v>1</v>
          </cell>
          <cell r="B1053">
            <v>2004</v>
          </cell>
          <cell r="C1053">
            <v>1</v>
          </cell>
          <cell r="D1053" t="str">
            <v>Production</v>
          </cell>
          <cell r="E1053" t="str">
            <v>Unknown- D&amp;C</v>
          </cell>
          <cell r="F1053" t="str">
            <v>Conventional</v>
          </cell>
          <cell r="G1053">
            <v>0</v>
          </cell>
          <cell r="H1053" t="str">
            <v>Production;Unknown- D&amp;C;Conventional</v>
          </cell>
          <cell r="I1053" t="str">
            <v>Unknown- D&amp;C;Conventional;0;1</v>
          </cell>
          <cell r="J1053" t="str">
            <v>AB</v>
          </cell>
          <cell r="K1053" t="str">
            <v>MEDIUM</v>
          </cell>
          <cell r="L1053">
            <v>3</v>
          </cell>
          <cell r="M1053">
            <v>37</v>
          </cell>
        </row>
        <row r="1054">
          <cell r="A1054">
            <v>1</v>
          </cell>
          <cell r="B1054">
            <v>2004</v>
          </cell>
          <cell r="C1054">
            <v>2</v>
          </cell>
          <cell r="D1054" t="str">
            <v>Production</v>
          </cell>
          <cell r="E1054" t="str">
            <v>Unknown- D&amp;C</v>
          </cell>
          <cell r="F1054" t="str">
            <v>Conventional</v>
          </cell>
          <cell r="G1054">
            <v>0</v>
          </cell>
          <cell r="H1054" t="str">
            <v>Production;Unknown- D&amp;C;Conventional</v>
          </cell>
          <cell r="I1054" t="str">
            <v>Unknown- D&amp;C;Conventional;0;1</v>
          </cell>
          <cell r="J1054" t="str">
            <v>AB</v>
          </cell>
          <cell r="K1054" t="str">
            <v>Medium</v>
          </cell>
          <cell r="L1054">
            <v>2</v>
          </cell>
          <cell r="M1054">
            <v>19</v>
          </cell>
        </row>
        <row r="1055">
          <cell r="A1055">
            <v>1</v>
          </cell>
          <cell r="B1055">
            <v>2005</v>
          </cell>
          <cell r="C1055">
            <v>1</v>
          </cell>
          <cell r="D1055" t="str">
            <v>Production</v>
          </cell>
          <cell r="E1055" t="str">
            <v>Unknown- D&amp;C</v>
          </cell>
          <cell r="F1055" t="str">
            <v>Conventional</v>
          </cell>
          <cell r="G1055">
            <v>0</v>
          </cell>
          <cell r="H1055" t="str">
            <v>Production;Unknown- D&amp;C;Conventional</v>
          </cell>
          <cell r="I1055" t="str">
            <v>Unknown- D&amp;C;Conventional;0;1</v>
          </cell>
          <cell r="J1055" t="str">
            <v>AB</v>
          </cell>
          <cell r="K1055" t="str">
            <v>Deep</v>
          </cell>
          <cell r="L1055">
            <v>10</v>
          </cell>
          <cell r="M1055">
            <v>426.33332999999999</v>
          </cell>
        </row>
        <row r="1056">
          <cell r="A1056">
            <v>1</v>
          </cell>
          <cell r="B1056">
            <v>2005</v>
          </cell>
          <cell r="C1056">
            <v>1</v>
          </cell>
          <cell r="D1056" t="str">
            <v>Production</v>
          </cell>
          <cell r="E1056" t="str">
            <v>Unknown- D&amp;C</v>
          </cell>
          <cell r="F1056" t="str">
            <v>Conventional</v>
          </cell>
          <cell r="G1056">
            <v>0</v>
          </cell>
          <cell r="H1056" t="str">
            <v>Production;Unknown- D&amp;C;Conventional</v>
          </cell>
          <cell r="I1056" t="str">
            <v>Unknown- D&amp;C;Conventional;0;1</v>
          </cell>
          <cell r="J1056" t="str">
            <v>AB</v>
          </cell>
          <cell r="K1056" t="str">
            <v>MEDIUM</v>
          </cell>
          <cell r="L1056">
            <v>6</v>
          </cell>
          <cell r="M1056">
            <v>127</v>
          </cell>
        </row>
        <row r="1057">
          <cell r="A1057">
            <v>1</v>
          </cell>
          <cell r="B1057">
            <v>2006</v>
          </cell>
          <cell r="C1057">
            <v>1</v>
          </cell>
          <cell r="D1057" t="str">
            <v>Production</v>
          </cell>
          <cell r="E1057" t="str">
            <v>Unknown- D&amp;C</v>
          </cell>
          <cell r="F1057" t="str">
            <v>Conventional</v>
          </cell>
          <cell r="G1057">
            <v>0</v>
          </cell>
          <cell r="H1057" t="str">
            <v>Production;Unknown- D&amp;C;Conventional</v>
          </cell>
          <cell r="I1057" t="str">
            <v>Unknown- D&amp;C;Conventional;0;1</v>
          </cell>
          <cell r="J1057" t="str">
            <v>AB</v>
          </cell>
          <cell r="K1057" t="str">
            <v>Deep</v>
          </cell>
          <cell r="L1057">
            <v>27</v>
          </cell>
          <cell r="M1057">
            <v>1733</v>
          </cell>
        </row>
        <row r="1058">
          <cell r="A1058">
            <v>1</v>
          </cell>
          <cell r="B1058">
            <v>2006</v>
          </cell>
          <cell r="C1058">
            <v>1</v>
          </cell>
          <cell r="D1058" t="str">
            <v>Production</v>
          </cell>
          <cell r="E1058" t="str">
            <v>Unknown- D&amp;C</v>
          </cell>
          <cell r="F1058" t="str">
            <v>Conventional</v>
          </cell>
          <cell r="G1058">
            <v>0</v>
          </cell>
          <cell r="H1058" t="str">
            <v>Production;Unknown- D&amp;C;Conventional</v>
          </cell>
          <cell r="I1058" t="str">
            <v>Unknown- D&amp;C;Conventional;0;1</v>
          </cell>
          <cell r="J1058" t="str">
            <v>AB</v>
          </cell>
          <cell r="K1058" t="str">
            <v>Medium</v>
          </cell>
          <cell r="L1058">
            <v>1</v>
          </cell>
          <cell r="M1058">
            <v>14</v>
          </cell>
        </row>
        <row r="1059">
          <cell r="A1059">
            <v>1</v>
          </cell>
          <cell r="B1059">
            <v>2006</v>
          </cell>
          <cell r="C1059">
            <v>1</v>
          </cell>
          <cell r="D1059" t="str">
            <v>Production</v>
          </cell>
          <cell r="E1059" t="str">
            <v>Unknown- D&amp;C</v>
          </cell>
          <cell r="F1059" t="str">
            <v>Conventional</v>
          </cell>
          <cell r="G1059">
            <v>0</v>
          </cell>
          <cell r="H1059" t="str">
            <v>Production;Unknown- D&amp;C;Conventional</v>
          </cell>
          <cell r="I1059" t="str">
            <v>Unknown- D&amp;C;Conventional;0;1</v>
          </cell>
          <cell r="J1059" t="str">
            <v>AB</v>
          </cell>
          <cell r="K1059" t="str">
            <v>Shallow</v>
          </cell>
          <cell r="L1059">
            <v>2</v>
          </cell>
          <cell r="M1059">
            <v>14</v>
          </cell>
        </row>
        <row r="1060">
          <cell r="A1060">
            <v>1</v>
          </cell>
          <cell r="B1060">
            <v>2006</v>
          </cell>
          <cell r="C1060">
            <v>2</v>
          </cell>
          <cell r="D1060" t="str">
            <v>Production</v>
          </cell>
          <cell r="E1060" t="str">
            <v>Unknown- D&amp;C</v>
          </cell>
          <cell r="F1060" t="str">
            <v>Conventional</v>
          </cell>
          <cell r="G1060">
            <v>0</v>
          </cell>
          <cell r="H1060" t="str">
            <v>Production;Unknown- D&amp;C;Conventional</v>
          </cell>
          <cell r="I1060" t="str">
            <v>Unknown- D&amp;C;Conventional;0;1</v>
          </cell>
          <cell r="J1060" t="str">
            <v>AB</v>
          </cell>
          <cell r="K1060" t="str">
            <v>Deep</v>
          </cell>
          <cell r="L1060">
            <v>3</v>
          </cell>
          <cell r="M1060">
            <v>174</v>
          </cell>
        </row>
        <row r="1061">
          <cell r="A1061">
            <v>1</v>
          </cell>
          <cell r="B1061">
            <v>2006</v>
          </cell>
          <cell r="C1061">
            <v>2</v>
          </cell>
          <cell r="D1061" t="str">
            <v>Production</v>
          </cell>
          <cell r="E1061" t="str">
            <v>Unknown- D&amp;C</v>
          </cell>
          <cell r="F1061" t="str">
            <v>Conventional</v>
          </cell>
          <cell r="G1061">
            <v>0</v>
          </cell>
          <cell r="H1061" t="str">
            <v>Production;Unknown- D&amp;C;Conventional</v>
          </cell>
          <cell r="I1061" t="str">
            <v>Unknown- D&amp;C;Conventional;0;1</v>
          </cell>
          <cell r="J1061" t="str">
            <v>AB</v>
          </cell>
          <cell r="K1061" t="str">
            <v>MEDIUM</v>
          </cell>
          <cell r="L1061">
            <v>2</v>
          </cell>
          <cell r="M1061">
            <v>38</v>
          </cell>
        </row>
        <row r="1062">
          <cell r="A1062">
            <v>1</v>
          </cell>
          <cell r="B1062">
            <v>2007</v>
          </cell>
          <cell r="C1062">
            <v>1</v>
          </cell>
          <cell r="D1062" t="str">
            <v>Production</v>
          </cell>
          <cell r="E1062" t="str">
            <v>Unknown- D&amp;C</v>
          </cell>
          <cell r="F1062" t="str">
            <v>Conventional</v>
          </cell>
          <cell r="G1062">
            <v>0</v>
          </cell>
          <cell r="H1062" t="str">
            <v>Production;Unknown- D&amp;C;Conventional</v>
          </cell>
          <cell r="I1062" t="str">
            <v>Unknown- D&amp;C;Conventional;0;1</v>
          </cell>
          <cell r="J1062" t="str">
            <v>AB</v>
          </cell>
          <cell r="K1062" t="str">
            <v>Deep</v>
          </cell>
          <cell r="L1062">
            <v>17</v>
          </cell>
          <cell r="M1062">
            <v>751</v>
          </cell>
        </row>
        <row r="1063">
          <cell r="A1063">
            <v>1</v>
          </cell>
          <cell r="B1063">
            <v>2007</v>
          </cell>
          <cell r="C1063">
            <v>1</v>
          </cell>
          <cell r="D1063" t="str">
            <v>Production</v>
          </cell>
          <cell r="E1063" t="str">
            <v>Unknown- D&amp;C</v>
          </cell>
          <cell r="F1063" t="str">
            <v>Conventional</v>
          </cell>
          <cell r="G1063">
            <v>0</v>
          </cell>
          <cell r="H1063" t="str">
            <v>Production;Unknown- D&amp;C;Conventional</v>
          </cell>
          <cell r="I1063" t="str">
            <v>Unknown- D&amp;C;Conventional;0;1</v>
          </cell>
          <cell r="J1063" t="str">
            <v>AB</v>
          </cell>
          <cell r="K1063" t="str">
            <v>Shallow</v>
          </cell>
          <cell r="L1063">
            <v>2</v>
          </cell>
          <cell r="M1063">
            <v>13</v>
          </cell>
        </row>
        <row r="1064">
          <cell r="A1064">
            <v>1</v>
          </cell>
          <cell r="B1064">
            <v>2007</v>
          </cell>
          <cell r="C1064">
            <v>2</v>
          </cell>
          <cell r="D1064" t="str">
            <v>Production</v>
          </cell>
          <cell r="E1064" t="str">
            <v>Unknown- D&amp;C</v>
          </cell>
          <cell r="F1064" t="str">
            <v>Conventional</v>
          </cell>
          <cell r="G1064">
            <v>0</v>
          </cell>
          <cell r="H1064" t="str">
            <v>Production;Unknown- D&amp;C;Conventional</v>
          </cell>
          <cell r="I1064" t="str">
            <v>Unknown- D&amp;C;Conventional;0;1</v>
          </cell>
          <cell r="J1064" t="str">
            <v>AB</v>
          </cell>
          <cell r="K1064" t="str">
            <v>Deep</v>
          </cell>
          <cell r="L1064">
            <v>2</v>
          </cell>
          <cell r="M1064">
            <v>144</v>
          </cell>
        </row>
        <row r="1065">
          <cell r="A1065">
            <v>2</v>
          </cell>
          <cell r="B1065">
            <v>2000</v>
          </cell>
          <cell r="C1065">
            <v>1</v>
          </cell>
          <cell r="D1065" t="str">
            <v>Production</v>
          </cell>
          <cell r="E1065" t="str">
            <v>Unknown- D&amp;C</v>
          </cell>
          <cell r="F1065" t="str">
            <v>Conventional</v>
          </cell>
          <cell r="G1065">
            <v>0</v>
          </cell>
          <cell r="H1065" t="str">
            <v>Production;Unknown- D&amp;C;Conventional</v>
          </cell>
          <cell r="I1065" t="str">
            <v>Unknown- D&amp;C;Conventional;0;2</v>
          </cell>
          <cell r="J1065" t="str">
            <v>AB</v>
          </cell>
          <cell r="K1065" t="str">
            <v>Deep</v>
          </cell>
          <cell r="L1065">
            <v>30</v>
          </cell>
          <cell r="M1065">
            <v>927</v>
          </cell>
        </row>
        <row r="1066">
          <cell r="A1066">
            <v>2</v>
          </cell>
          <cell r="B1066">
            <v>2000</v>
          </cell>
          <cell r="C1066">
            <v>1</v>
          </cell>
          <cell r="D1066" t="str">
            <v>Production</v>
          </cell>
          <cell r="E1066" t="str">
            <v>Unknown- D&amp;C</v>
          </cell>
          <cell r="F1066" t="str">
            <v>Conventional</v>
          </cell>
          <cell r="G1066">
            <v>0</v>
          </cell>
          <cell r="H1066" t="str">
            <v>Production;Unknown- D&amp;C;Conventional</v>
          </cell>
          <cell r="I1066" t="str">
            <v>Unknown- D&amp;C;Conventional;0;2</v>
          </cell>
          <cell r="J1066" t="str">
            <v>AB</v>
          </cell>
          <cell r="K1066" t="str">
            <v>MEDIUM</v>
          </cell>
          <cell r="L1066">
            <v>54</v>
          </cell>
          <cell r="M1066">
            <v>742.5</v>
          </cell>
        </row>
        <row r="1067">
          <cell r="A1067">
            <v>2</v>
          </cell>
          <cell r="B1067">
            <v>2000</v>
          </cell>
          <cell r="C1067">
            <v>1</v>
          </cell>
          <cell r="D1067" t="str">
            <v>Production</v>
          </cell>
          <cell r="E1067" t="str">
            <v>Unknown- D&amp;C</v>
          </cell>
          <cell r="F1067" t="str">
            <v>Conventional</v>
          </cell>
          <cell r="G1067">
            <v>0</v>
          </cell>
          <cell r="H1067" t="str">
            <v>Production;Unknown- D&amp;C;Conventional</v>
          </cell>
          <cell r="I1067" t="str">
            <v>Unknown- D&amp;C;Conventional;0;2</v>
          </cell>
          <cell r="J1067" t="str">
            <v>AB</v>
          </cell>
          <cell r="K1067" t="str">
            <v>Shallow</v>
          </cell>
          <cell r="L1067">
            <v>15</v>
          </cell>
          <cell r="M1067">
            <v>48.759523999999999</v>
          </cell>
        </row>
        <row r="1068">
          <cell r="A1068">
            <v>2</v>
          </cell>
          <cell r="B1068">
            <v>2000</v>
          </cell>
          <cell r="C1068">
            <v>2</v>
          </cell>
          <cell r="D1068" t="str">
            <v>Production</v>
          </cell>
          <cell r="E1068" t="str">
            <v>Unknown- D&amp;C</v>
          </cell>
          <cell r="F1068" t="str">
            <v>Conventional</v>
          </cell>
          <cell r="G1068">
            <v>0</v>
          </cell>
          <cell r="H1068" t="str">
            <v>Production;Unknown- D&amp;C;Conventional</v>
          </cell>
          <cell r="I1068" t="str">
            <v>Unknown- D&amp;C;Conventional;0;2</v>
          </cell>
          <cell r="J1068" t="str">
            <v>AB</v>
          </cell>
          <cell r="K1068" t="str">
            <v>Deep</v>
          </cell>
          <cell r="L1068">
            <v>3</v>
          </cell>
          <cell r="M1068">
            <v>61</v>
          </cell>
        </row>
        <row r="1069">
          <cell r="A1069">
            <v>2</v>
          </cell>
          <cell r="B1069">
            <v>2000</v>
          </cell>
          <cell r="C1069">
            <v>2</v>
          </cell>
          <cell r="D1069" t="str">
            <v>Production</v>
          </cell>
          <cell r="E1069" t="str">
            <v>Unknown- D&amp;C</v>
          </cell>
          <cell r="F1069" t="str">
            <v>Conventional</v>
          </cell>
          <cell r="G1069">
            <v>0</v>
          </cell>
          <cell r="H1069" t="str">
            <v>Production;Unknown- D&amp;C;Conventional</v>
          </cell>
          <cell r="I1069" t="str">
            <v>Unknown- D&amp;C;Conventional;0;2</v>
          </cell>
          <cell r="J1069" t="str">
            <v>AB</v>
          </cell>
          <cell r="K1069" t="str">
            <v>Medium</v>
          </cell>
          <cell r="L1069">
            <v>1</v>
          </cell>
          <cell r="M1069">
            <v>17</v>
          </cell>
        </row>
        <row r="1070">
          <cell r="A1070">
            <v>2</v>
          </cell>
          <cell r="B1070">
            <v>2001</v>
          </cell>
          <cell r="C1070">
            <v>1</v>
          </cell>
          <cell r="D1070" t="str">
            <v>Production</v>
          </cell>
          <cell r="E1070" t="str">
            <v>Unknown- D&amp;C</v>
          </cell>
          <cell r="F1070" t="str">
            <v>Conventional</v>
          </cell>
          <cell r="G1070">
            <v>0</v>
          </cell>
          <cell r="H1070" t="str">
            <v>Production;Unknown- D&amp;C;Conventional</v>
          </cell>
          <cell r="I1070" t="str">
            <v>Unknown- D&amp;C;Conventional;0;2</v>
          </cell>
          <cell r="J1070" t="str">
            <v>AB</v>
          </cell>
          <cell r="K1070" t="str">
            <v>Deep</v>
          </cell>
          <cell r="L1070">
            <v>43</v>
          </cell>
          <cell r="M1070">
            <v>1146.5</v>
          </cell>
        </row>
        <row r="1071">
          <cell r="A1071">
            <v>2</v>
          </cell>
          <cell r="B1071">
            <v>2001</v>
          </cell>
          <cell r="C1071">
            <v>1</v>
          </cell>
          <cell r="D1071" t="str">
            <v>Production</v>
          </cell>
          <cell r="E1071" t="str">
            <v>Unknown- D&amp;C</v>
          </cell>
          <cell r="F1071" t="str">
            <v>Conventional</v>
          </cell>
          <cell r="G1071">
            <v>0</v>
          </cell>
          <cell r="H1071" t="str">
            <v>Production;Unknown- D&amp;C;Conventional</v>
          </cell>
          <cell r="I1071" t="str">
            <v>Unknown- D&amp;C;Conventional;0;2</v>
          </cell>
          <cell r="J1071" t="str">
            <v>AB</v>
          </cell>
          <cell r="K1071" t="str">
            <v>MEDIUM</v>
          </cell>
          <cell r="L1071">
            <v>66</v>
          </cell>
          <cell r="M1071">
            <v>989.16667000000007</v>
          </cell>
        </row>
        <row r="1072">
          <cell r="A1072">
            <v>2</v>
          </cell>
          <cell r="B1072">
            <v>2001</v>
          </cell>
          <cell r="C1072">
            <v>1</v>
          </cell>
          <cell r="D1072" t="str">
            <v>Production</v>
          </cell>
          <cell r="E1072" t="str">
            <v>Unknown- D&amp;C</v>
          </cell>
          <cell r="F1072" t="str">
            <v>Conventional</v>
          </cell>
          <cell r="G1072">
            <v>0</v>
          </cell>
          <cell r="H1072" t="str">
            <v>Production;Unknown- D&amp;C;Conventional</v>
          </cell>
          <cell r="I1072" t="str">
            <v>Unknown- D&amp;C;Conventional;0;2</v>
          </cell>
          <cell r="J1072" t="str">
            <v>AB</v>
          </cell>
          <cell r="K1072" t="str">
            <v>Shallow</v>
          </cell>
          <cell r="L1072">
            <v>27</v>
          </cell>
          <cell r="M1072">
            <v>119.333333</v>
          </cell>
        </row>
        <row r="1073">
          <cell r="A1073">
            <v>2</v>
          </cell>
          <cell r="B1073">
            <v>2001</v>
          </cell>
          <cell r="C1073">
            <v>2</v>
          </cell>
          <cell r="D1073" t="str">
            <v>Production</v>
          </cell>
          <cell r="E1073" t="str">
            <v>Unknown- D&amp;C</v>
          </cell>
          <cell r="F1073" t="str">
            <v>Conventional</v>
          </cell>
          <cell r="G1073">
            <v>0</v>
          </cell>
          <cell r="H1073" t="str">
            <v>Production;Unknown- D&amp;C;Conventional</v>
          </cell>
          <cell r="I1073" t="str">
            <v>Unknown- D&amp;C;Conventional;0;2</v>
          </cell>
          <cell r="J1073" t="str">
            <v>AB</v>
          </cell>
          <cell r="K1073" t="str">
            <v>DEEP</v>
          </cell>
          <cell r="L1073">
            <v>2</v>
          </cell>
          <cell r="M1073">
            <v>8</v>
          </cell>
        </row>
        <row r="1074">
          <cell r="A1074">
            <v>2</v>
          </cell>
          <cell r="B1074">
            <v>2001</v>
          </cell>
          <cell r="C1074">
            <v>2</v>
          </cell>
          <cell r="D1074" t="str">
            <v>Production</v>
          </cell>
          <cell r="E1074" t="str">
            <v>Unknown- D&amp;C</v>
          </cell>
          <cell r="F1074" t="str">
            <v>Conventional</v>
          </cell>
          <cell r="G1074">
            <v>0</v>
          </cell>
          <cell r="H1074" t="str">
            <v>Production;Unknown- D&amp;C;Conventional</v>
          </cell>
          <cell r="I1074" t="str">
            <v>Unknown- D&amp;C;Conventional;0;2</v>
          </cell>
          <cell r="J1074" t="str">
            <v>AB</v>
          </cell>
          <cell r="K1074" t="str">
            <v>Medium</v>
          </cell>
          <cell r="L1074">
            <v>1</v>
          </cell>
          <cell r="M1074">
            <v>5</v>
          </cell>
        </row>
        <row r="1075">
          <cell r="A1075">
            <v>2</v>
          </cell>
          <cell r="B1075">
            <v>2002</v>
          </cell>
          <cell r="C1075">
            <v>1</v>
          </cell>
          <cell r="D1075" t="str">
            <v>Production</v>
          </cell>
          <cell r="E1075" t="str">
            <v>Unknown- D&amp;C</v>
          </cell>
          <cell r="F1075" t="str">
            <v>Conventional</v>
          </cell>
          <cell r="G1075">
            <v>0</v>
          </cell>
          <cell r="H1075" t="str">
            <v>Production;Unknown- D&amp;C;Conventional</v>
          </cell>
          <cell r="I1075" t="str">
            <v>Unknown- D&amp;C;Conventional;0;2</v>
          </cell>
          <cell r="J1075" t="str">
            <v>AB</v>
          </cell>
          <cell r="K1075" t="str">
            <v>Deep</v>
          </cell>
          <cell r="L1075">
            <v>41</v>
          </cell>
          <cell r="M1075">
            <v>1205.5</v>
          </cell>
        </row>
        <row r="1076">
          <cell r="A1076">
            <v>2</v>
          </cell>
          <cell r="B1076">
            <v>2002</v>
          </cell>
          <cell r="C1076">
            <v>1</v>
          </cell>
          <cell r="D1076" t="str">
            <v>Production</v>
          </cell>
          <cell r="E1076" t="str">
            <v>Unknown- D&amp;C</v>
          </cell>
          <cell r="F1076" t="str">
            <v>Conventional</v>
          </cell>
          <cell r="G1076">
            <v>0</v>
          </cell>
          <cell r="H1076" t="str">
            <v>Production;Unknown- D&amp;C;Conventional</v>
          </cell>
          <cell r="I1076" t="str">
            <v>Unknown- D&amp;C;Conventional;0;2</v>
          </cell>
          <cell r="J1076" t="str">
            <v>AB</v>
          </cell>
          <cell r="K1076" t="str">
            <v>Medium</v>
          </cell>
          <cell r="L1076">
            <v>57</v>
          </cell>
          <cell r="M1076">
            <v>706</v>
          </cell>
        </row>
        <row r="1077">
          <cell r="A1077">
            <v>2</v>
          </cell>
          <cell r="B1077">
            <v>2002</v>
          </cell>
          <cell r="C1077">
            <v>1</v>
          </cell>
          <cell r="D1077" t="str">
            <v>Production</v>
          </cell>
          <cell r="E1077" t="str">
            <v>Unknown- D&amp;C</v>
          </cell>
          <cell r="F1077" t="str">
            <v>Conventional</v>
          </cell>
          <cell r="G1077">
            <v>0</v>
          </cell>
          <cell r="H1077" t="str">
            <v>Production;Unknown- D&amp;C;Conventional</v>
          </cell>
          <cell r="I1077" t="str">
            <v>Unknown- D&amp;C;Conventional;0;2</v>
          </cell>
          <cell r="J1077" t="str">
            <v>AB</v>
          </cell>
          <cell r="K1077" t="str">
            <v>Shallow</v>
          </cell>
          <cell r="L1077">
            <v>15</v>
          </cell>
          <cell r="M1077">
            <v>57.333332999999996</v>
          </cell>
        </row>
        <row r="1078">
          <cell r="A1078">
            <v>2</v>
          </cell>
          <cell r="B1078">
            <v>2002</v>
          </cell>
          <cell r="C1078">
            <v>2</v>
          </cell>
          <cell r="D1078" t="str">
            <v>Production</v>
          </cell>
          <cell r="E1078" t="str">
            <v>Unknown- D&amp;C</v>
          </cell>
          <cell r="F1078" t="str">
            <v>Conventional</v>
          </cell>
          <cell r="G1078">
            <v>0</v>
          </cell>
          <cell r="H1078" t="str">
            <v>Production;Unknown- D&amp;C;Conventional</v>
          </cell>
          <cell r="I1078" t="str">
            <v>Unknown- D&amp;C;Conventional;0;2</v>
          </cell>
          <cell r="J1078" t="str">
            <v>AB</v>
          </cell>
          <cell r="K1078" t="str">
            <v>Medium</v>
          </cell>
          <cell r="L1078">
            <v>2</v>
          </cell>
          <cell r="M1078">
            <v>61</v>
          </cell>
        </row>
        <row r="1079">
          <cell r="A1079">
            <v>2</v>
          </cell>
          <cell r="B1079">
            <v>2002</v>
          </cell>
          <cell r="C1079">
            <v>2</v>
          </cell>
          <cell r="D1079" t="str">
            <v>Production</v>
          </cell>
          <cell r="E1079" t="str">
            <v>Unknown- D&amp;C</v>
          </cell>
          <cell r="F1079" t="str">
            <v>Conventional</v>
          </cell>
          <cell r="G1079">
            <v>0</v>
          </cell>
          <cell r="H1079" t="str">
            <v>Production;Unknown- D&amp;C;Conventional</v>
          </cell>
          <cell r="I1079" t="str">
            <v>Unknown- D&amp;C;Conventional;0;2</v>
          </cell>
          <cell r="J1079" t="str">
            <v>AB</v>
          </cell>
          <cell r="K1079" t="str">
            <v>Shallow</v>
          </cell>
          <cell r="L1079">
            <v>1</v>
          </cell>
          <cell r="M1079">
            <v>30</v>
          </cell>
        </row>
        <row r="1080">
          <cell r="A1080">
            <v>2</v>
          </cell>
          <cell r="B1080">
            <v>2002</v>
          </cell>
          <cell r="C1080">
            <v>3</v>
          </cell>
          <cell r="D1080" t="str">
            <v>Production</v>
          </cell>
          <cell r="E1080" t="str">
            <v>Unknown- D&amp;C</v>
          </cell>
          <cell r="F1080" t="str">
            <v>Conventional</v>
          </cell>
          <cell r="G1080">
            <v>0</v>
          </cell>
          <cell r="H1080" t="str">
            <v>Production;Unknown- D&amp;C;Conventional</v>
          </cell>
          <cell r="I1080" t="str">
            <v>Unknown- D&amp;C;Conventional;0;2</v>
          </cell>
          <cell r="J1080" t="str">
            <v>AB</v>
          </cell>
          <cell r="K1080" t="str">
            <v>Medium</v>
          </cell>
          <cell r="L1080">
            <v>1</v>
          </cell>
          <cell r="M1080">
            <v>11</v>
          </cell>
        </row>
        <row r="1081">
          <cell r="A1081">
            <v>2</v>
          </cell>
          <cell r="B1081">
            <v>2003</v>
          </cell>
          <cell r="C1081">
            <v>1</v>
          </cell>
          <cell r="D1081" t="str">
            <v>Production</v>
          </cell>
          <cell r="E1081" t="str">
            <v>Unknown- D&amp;C</v>
          </cell>
          <cell r="F1081" t="str">
            <v>Conventional</v>
          </cell>
          <cell r="G1081">
            <v>0</v>
          </cell>
          <cell r="H1081" t="str">
            <v>Production;Unknown- D&amp;C;Conventional</v>
          </cell>
          <cell r="I1081" t="str">
            <v>Unknown- D&amp;C;Conventional;0;2</v>
          </cell>
          <cell r="J1081" t="str">
            <v>AB</v>
          </cell>
          <cell r="K1081" t="str">
            <v>Deep</v>
          </cell>
          <cell r="L1081">
            <v>62</v>
          </cell>
          <cell r="M1081">
            <v>1635</v>
          </cell>
        </row>
        <row r="1082">
          <cell r="A1082">
            <v>2</v>
          </cell>
          <cell r="B1082">
            <v>2003</v>
          </cell>
          <cell r="C1082">
            <v>1</v>
          </cell>
          <cell r="D1082" t="str">
            <v>Production</v>
          </cell>
          <cell r="E1082" t="str">
            <v>Unknown- D&amp;C</v>
          </cell>
          <cell r="F1082" t="str">
            <v>Conventional</v>
          </cell>
          <cell r="G1082">
            <v>0</v>
          </cell>
          <cell r="H1082" t="str">
            <v>Production;Unknown- D&amp;C;Conventional</v>
          </cell>
          <cell r="I1082" t="str">
            <v>Unknown- D&amp;C;Conventional;0;2</v>
          </cell>
          <cell r="J1082" t="str">
            <v>AB</v>
          </cell>
          <cell r="K1082" t="str">
            <v>Medium</v>
          </cell>
          <cell r="L1082">
            <v>94</v>
          </cell>
          <cell r="M1082">
            <v>1001</v>
          </cell>
        </row>
        <row r="1083">
          <cell r="A1083">
            <v>2</v>
          </cell>
          <cell r="B1083">
            <v>2003</v>
          </cell>
          <cell r="C1083">
            <v>1</v>
          </cell>
          <cell r="D1083" t="str">
            <v>Production</v>
          </cell>
          <cell r="E1083" t="str">
            <v>Unknown- D&amp;C</v>
          </cell>
          <cell r="F1083" t="str">
            <v>Conventional</v>
          </cell>
          <cell r="G1083">
            <v>0</v>
          </cell>
          <cell r="H1083" t="str">
            <v>Production;Unknown- D&amp;C;Conventional</v>
          </cell>
          <cell r="I1083" t="str">
            <v>Unknown- D&amp;C;Conventional;0;2</v>
          </cell>
          <cell r="J1083" t="str">
            <v>AB</v>
          </cell>
          <cell r="K1083" t="str">
            <v>Shallow</v>
          </cell>
          <cell r="L1083">
            <v>19</v>
          </cell>
          <cell r="M1083">
            <v>185.45951700000001</v>
          </cell>
        </row>
        <row r="1084">
          <cell r="A1084">
            <v>2</v>
          </cell>
          <cell r="B1084">
            <v>2003</v>
          </cell>
          <cell r="C1084">
            <v>2</v>
          </cell>
          <cell r="D1084" t="str">
            <v>Production</v>
          </cell>
          <cell r="E1084" t="str">
            <v>Unknown- D&amp;C</v>
          </cell>
          <cell r="F1084" t="str">
            <v>Conventional</v>
          </cell>
          <cell r="G1084">
            <v>0</v>
          </cell>
          <cell r="H1084" t="str">
            <v>Production;Unknown- D&amp;C;Conventional</v>
          </cell>
          <cell r="I1084" t="str">
            <v>Unknown- D&amp;C;Conventional;0;2</v>
          </cell>
          <cell r="J1084" t="str">
            <v>AB</v>
          </cell>
          <cell r="K1084" t="str">
            <v>Deep</v>
          </cell>
          <cell r="L1084">
            <v>1</v>
          </cell>
          <cell r="M1084">
            <v>23</v>
          </cell>
        </row>
        <row r="1085">
          <cell r="A1085">
            <v>2</v>
          </cell>
          <cell r="B1085">
            <v>2003</v>
          </cell>
          <cell r="C1085">
            <v>2</v>
          </cell>
          <cell r="D1085" t="str">
            <v>Production</v>
          </cell>
          <cell r="E1085" t="str">
            <v>Unknown- D&amp;C</v>
          </cell>
          <cell r="F1085" t="str">
            <v>Conventional</v>
          </cell>
          <cell r="G1085">
            <v>0</v>
          </cell>
          <cell r="H1085" t="str">
            <v>Production;Unknown- D&amp;C;Conventional</v>
          </cell>
          <cell r="I1085" t="str">
            <v>Unknown- D&amp;C;Conventional;0;2</v>
          </cell>
          <cell r="J1085" t="str">
            <v>AB</v>
          </cell>
          <cell r="K1085" t="str">
            <v>Medium</v>
          </cell>
          <cell r="L1085">
            <v>2</v>
          </cell>
          <cell r="M1085">
            <v>38</v>
          </cell>
        </row>
        <row r="1086">
          <cell r="A1086">
            <v>2</v>
          </cell>
          <cell r="B1086">
            <v>2004</v>
          </cell>
          <cell r="C1086">
            <v>1</v>
          </cell>
          <cell r="D1086" t="str">
            <v>Production</v>
          </cell>
          <cell r="E1086" t="str">
            <v>Unknown- D&amp;C</v>
          </cell>
          <cell r="F1086" t="str">
            <v>Conventional</v>
          </cell>
          <cell r="G1086">
            <v>0</v>
          </cell>
          <cell r="H1086" t="str">
            <v>Production;Unknown- D&amp;C;Conventional</v>
          </cell>
          <cell r="I1086" t="str">
            <v>Unknown- D&amp;C;Conventional;0;2</v>
          </cell>
          <cell r="J1086" t="str">
            <v>AB</v>
          </cell>
          <cell r="K1086" t="str">
            <v>Deep</v>
          </cell>
          <cell r="L1086">
            <v>88</v>
          </cell>
          <cell r="M1086">
            <v>2160.5000009999999</v>
          </cell>
        </row>
        <row r="1087">
          <cell r="A1087">
            <v>2</v>
          </cell>
          <cell r="B1087">
            <v>2004</v>
          </cell>
          <cell r="C1087">
            <v>1</v>
          </cell>
          <cell r="D1087" t="str">
            <v>Production</v>
          </cell>
          <cell r="E1087" t="str">
            <v>Unknown- D&amp;C</v>
          </cell>
          <cell r="F1087" t="str">
            <v>Conventional</v>
          </cell>
          <cell r="G1087">
            <v>0</v>
          </cell>
          <cell r="H1087" t="str">
            <v>Production;Unknown- D&amp;C;Conventional</v>
          </cell>
          <cell r="I1087" t="str">
            <v>Unknown- D&amp;C;Conventional;0;2</v>
          </cell>
          <cell r="J1087" t="str">
            <v>AB</v>
          </cell>
          <cell r="K1087" t="str">
            <v>Medium</v>
          </cell>
          <cell r="L1087">
            <v>166</v>
          </cell>
          <cell r="M1087">
            <v>1867.5</v>
          </cell>
        </row>
        <row r="1088">
          <cell r="A1088">
            <v>2</v>
          </cell>
          <cell r="B1088">
            <v>2004</v>
          </cell>
          <cell r="C1088">
            <v>1</v>
          </cell>
          <cell r="D1088" t="str">
            <v>Production</v>
          </cell>
          <cell r="E1088" t="str">
            <v>Unknown- D&amp;C</v>
          </cell>
          <cell r="F1088" t="str">
            <v>Conventional</v>
          </cell>
          <cell r="G1088">
            <v>0</v>
          </cell>
          <cell r="H1088" t="str">
            <v>Production;Unknown- D&amp;C;Conventional</v>
          </cell>
          <cell r="I1088" t="str">
            <v>Unknown- D&amp;C;Conventional;0;2</v>
          </cell>
          <cell r="J1088" t="str">
            <v>AB</v>
          </cell>
          <cell r="K1088" t="str">
            <v>Shallow</v>
          </cell>
          <cell r="L1088">
            <v>27</v>
          </cell>
          <cell r="M1088">
            <v>180.66667000000001</v>
          </cell>
        </row>
        <row r="1089">
          <cell r="A1089">
            <v>2</v>
          </cell>
          <cell r="B1089">
            <v>2004</v>
          </cell>
          <cell r="C1089">
            <v>2</v>
          </cell>
          <cell r="D1089" t="str">
            <v>Production</v>
          </cell>
          <cell r="E1089" t="str">
            <v>Unknown- D&amp;C</v>
          </cell>
          <cell r="F1089" t="str">
            <v>Conventional</v>
          </cell>
          <cell r="G1089">
            <v>0</v>
          </cell>
          <cell r="H1089" t="str">
            <v>Production;Unknown- D&amp;C;Conventional</v>
          </cell>
          <cell r="I1089" t="str">
            <v>Unknown- D&amp;C;Conventional;0;2</v>
          </cell>
          <cell r="J1089" t="str">
            <v>AB</v>
          </cell>
          <cell r="K1089" t="str">
            <v>Deep</v>
          </cell>
          <cell r="L1089">
            <v>1</v>
          </cell>
          <cell r="M1089">
            <v>6</v>
          </cell>
        </row>
        <row r="1090">
          <cell r="A1090">
            <v>2</v>
          </cell>
          <cell r="B1090">
            <v>2004</v>
          </cell>
          <cell r="C1090">
            <v>2</v>
          </cell>
          <cell r="D1090" t="str">
            <v>Production</v>
          </cell>
          <cell r="E1090" t="str">
            <v>Unknown- D&amp;C</v>
          </cell>
          <cell r="F1090" t="str">
            <v>Conventional</v>
          </cell>
          <cell r="G1090">
            <v>0</v>
          </cell>
          <cell r="H1090" t="str">
            <v>Production;Unknown- D&amp;C;Conventional</v>
          </cell>
          <cell r="I1090" t="str">
            <v>Unknown- D&amp;C;Conventional;0;2</v>
          </cell>
          <cell r="J1090" t="str">
            <v>AB</v>
          </cell>
          <cell r="K1090" t="str">
            <v>Medium</v>
          </cell>
          <cell r="L1090">
            <v>4</v>
          </cell>
          <cell r="M1090">
            <v>39</v>
          </cell>
        </row>
        <row r="1091">
          <cell r="A1091">
            <v>2</v>
          </cell>
          <cell r="B1091">
            <v>2004</v>
          </cell>
          <cell r="C1091">
            <v>3</v>
          </cell>
          <cell r="D1091" t="str">
            <v>Production</v>
          </cell>
          <cell r="E1091" t="str">
            <v>Unknown- D&amp;C</v>
          </cell>
          <cell r="F1091" t="str">
            <v>Conventional</v>
          </cell>
          <cell r="G1091">
            <v>0</v>
          </cell>
          <cell r="H1091" t="str">
            <v>Production;Unknown- D&amp;C;Conventional</v>
          </cell>
          <cell r="I1091" t="str">
            <v>Unknown- D&amp;C;Conventional;0;2</v>
          </cell>
          <cell r="J1091" t="str">
            <v>AB</v>
          </cell>
          <cell r="K1091" t="str">
            <v>Deep</v>
          </cell>
          <cell r="L1091">
            <v>2</v>
          </cell>
          <cell r="M1091">
            <v>14</v>
          </cell>
        </row>
        <row r="1092">
          <cell r="A1092">
            <v>2</v>
          </cell>
          <cell r="B1092">
            <v>2005</v>
          </cell>
          <cell r="C1092">
            <v>1</v>
          </cell>
          <cell r="D1092" t="str">
            <v>Production</v>
          </cell>
          <cell r="E1092" t="str">
            <v>Unknown- D&amp;C</v>
          </cell>
          <cell r="F1092" t="str">
            <v>Conventional</v>
          </cell>
          <cell r="G1092">
            <v>0</v>
          </cell>
          <cell r="H1092" t="str">
            <v>Production;Unknown- D&amp;C;Conventional</v>
          </cell>
          <cell r="I1092" t="str">
            <v>Unknown- D&amp;C;Conventional;0;2</v>
          </cell>
          <cell r="J1092" t="str">
            <v>AB</v>
          </cell>
          <cell r="K1092" t="str">
            <v>Deep</v>
          </cell>
          <cell r="L1092">
            <v>109</v>
          </cell>
          <cell r="M1092">
            <v>2882.8333000000002</v>
          </cell>
        </row>
        <row r="1093">
          <cell r="A1093">
            <v>2</v>
          </cell>
          <cell r="B1093">
            <v>2005</v>
          </cell>
          <cell r="C1093">
            <v>1</v>
          </cell>
          <cell r="D1093" t="str">
            <v>Production</v>
          </cell>
          <cell r="E1093" t="str">
            <v>Unknown- D&amp;C</v>
          </cell>
          <cell r="F1093" t="str">
            <v>Conventional</v>
          </cell>
          <cell r="G1093">
            <v>0</v>
          </cell>
          <cell r="H1093" t="str">
            <v>Production;Unknown- D&amp;C;Conventional</v>
          </cell>
          <cell r="I1093" t="str">
            <v>Unknown- D&amp;C;Conventional;0;2</v>
          </cell>
          <cell r="J1093" t="str">
            <v>AB</v>
          </cell>
          <cell r="K1093" t="str">
            <v>Medium</v>
          </cell>
          <cell r="L1093">
            <v>208</v>
          </cell>
          <cell r="M1093">
            <v>2563.5</v>
          </cell>
        </row>
        <row r="1094">
          <cell r="A1094">
            <v>2</v>
          </cell>
          <cell r="B1094">
            <v>2005</v>
          </cell>
          <cell r="C1094">
            <v>1</v>
          </cell>
          <cell r="D1094" t="str">
            <v>Production</v>
          </cell>
          <cell r="E1094" t="str">
            <v>Unknown- D&amp;C</v>
          </cell>
          <cell r="F1094" t="str">
            <v>Conventional</v>
          </cell>
          <cell r="G1094">
            <v>0</v>
          </cell>
          <cell r="H1094" t="str">
            <v>Production;Unknown- D&amp;C;Conventional</v>
          </cell>
          <cell r="I1094" t="str">
            <v>Unknown- D&amp;C;Conventional;0;2</v>
          </cell>
          <cell r="J1094" t="str">
            <v>AB</v>
          </cell>
          <cell r="K1094" t="str">
            <v>Shallow</v>
          </cell>
          <cell r="L1094">
            <v>53</v>
          </cell>
          <cell r="M1094">
            <v>230.00754000000001</v>
          </cell>
        </row>
        <row r="1095">
          <cell r="A1095">
            <v>2</v>
          </cell>
          <cell r="B1095">
            <v>2005</v>
          </cell>
          <cell r="C1095">
            <v>2</v>
          </cell>
          <cell r="D1095" t="str">
            <v>Production</v>
          </cell>
          <cell r="E1095" t="str">
            <v>Unknown- D&amp;C</v>
          </cell>
          <cell r="F1095" t="str">
            <v>Conventional</v>
          </cell>
          <cell r="G1095">
            <v>0</v>
          </cell>
          <cell r="H1095" t="str">
            <v>Production;Unknown- D&amp;C;Conventional</v>
          </cell>
          <cell r="I1095" t="str">
            <v>Unknown- D&amp;C;Conventional;0;2</v>
          </cell>
          <cell r="J1095" t="str">
            <v>AB</v>
          </cell>
          <cell r="K1095" t="str">
            <v>Deep</v>
          </cell>
          <cell r="L1095">
            <v>7</v>
          </cell>
          <cell r="M1095">
            <v>111.5</v>
          </cell>
        </row>
        <row r="1096">
          <cell r="A1096">
            <v>2</v>
          </cell>
          <cell r="B1096">
            <v>2005</v>
          </cell>
          <cell r="C1096">
            <v>2</v>
          </cell>
          <cell r="D1096" t="str">
            <v>Production</v>
          </cell>
          <cell r="E1096" t="str">
            <v>Unknown- D&amp;C</v>
          </cell>
          <cell r="F1096" t="str">
            <v>Conventional</v>
          </cell>
          <cell r="G1096">
            <v>0</v>
          </cell>
          <cell r="H1096" t="str">
            <v>Production;Unknown- D&amp;C;Conventional</v>
          </cell>
          <cell r="I1096" t="str">
            <v>Unknown- D&amp;C;Conventional;0;2</v>
          </cell>
          <cell r="J1096" t="str">
            <v>AB</v>
          </cell>
          <cell r="K1096" t="str">
            <v>Medium</v>
          </cell>
          <cell r="L1096">
            <v>3</v>
          </cell>
          <cell r="M1096">
            <v>44.5</v>
          </cell>
        </row>
        <row r="1097">
          <cell r="A1097">
            <v>2</v>
          </cell>
          <cell r="B1097">
            <v>2005</v>
          </cell>
          <cell r="C1097">
            <v>2</v>
          </cell>
          <cell r="D1097" t="str">
            <v>Production</v>
          </cell>
          <cell r="E1097" t="str">
            <v>Unknown- D&amp;C</v>
          </cell>
          <cell r="F1097" t="str">
            <v>Conventional</v>
          </cell>
          <cell r="G1097">
            <v>0</v>
          </cell>
          <cell r="H1097" t="str">
            <v>Production;Unknown- D&amp;C;Conventional</v>
          </cell>
          <cell r="I1097" t="str">
            <v>Unknown- D&amp;C;Conventional;0;2</v>
          </cell>
          <cell r="J1097" t="str">
            <v>AB</v>
          </cell>
          <cell r="K1097" t="str">
            <v>Shallow</v>
          </cell>
          <cell r="L1097">
            <v>1</v>
          </cell>
          <cell r="M1097">
            <v>2</v>
          </cell>
        </row>
        <row r="1098">
          <cell r="A1098">
            <v>2</v>
          </cell>
          <cell r="B1098">
            <v>2006</v>
          </cell>
          <cell r="C1098">
            <v>1</v>
          </cell>
          <cell r="D1098" t="str">
            <v>Production</v>
          </cell>
          <cell r="E1098" t="str">
            <v>Unknown- D&amp;C</v>
          </cell>
          <cell r="F1098" t="str">
            <v>Conventional</v>
          </cell>
          <cell r="G1098">
            <v>0</v>
          </cell>
          <cell r="H1098" t="str">
            <v>Production;Unknown- D&amp;C;Conventional</v>
          </cell>
          <cell r="I1098" t="str">
            <v>Unknown- D&amp;C;Conventional;0;2</v>
          </cell>
          <cell r="J1098" t="str">
            <v>AB</v>
          </cell>
          <cell r="K1098" t="str">
            <v>Deep</v>
          </cell>
          <cell r="L1098">
            <v>255</v>
          </cell>
          <cell r="M1098">
            <v>6691.8333400000001</v>
          </cell>
        </row>
        <row r="1099">
          <cell r="A1099">
            <v>2</v>
          </cell>
          <cell r="B1099">
            <v>2006</v>
          </cell>
          <cell r="C1099">
            <v>1</v>
          </cell>
          <cell r="D1099" t="str">
            <v>Production</v>
          </cell>
          <cell r="E1099" t="str">
            <v>Unknown- D&amp;C</v>
          </cell>
          <cell r="F1099" t="str">
            <v>Conventional</v>
          </cell>
          <cell r="G1099">
            <v>0</v>
          </cell>
          <cell r="H1099" t="str">
            <v>Production;Unknown- D&amp;C;Conventional</v>
          </cell>
          <cell r="I1099" t="str">
            <v>Unknown- D&amp;C;Conventional;0;2</v>
          </cell>
          <cell r="J1099" t="str">
            <v>AB</v>
          </cell>
          <cell r="K1099" t="str">
            <v>Medium</v>
          </cell>
          <cell r="L1099">
            <v>371</v>
          </cell>
          <cell r="M1099">
            <v>4327.4166700000005</v>
          </cell>
        </row>
        <row r="1100">
          <cell r="A1100">
            <v>2</v>
          </cell>
          <cell r="B1100">
            <v>2006</v>
          </cell>
          <cell r="C1100">
            <v>1</v>
          </cell>
          <cell r="D1100" t="str">
            <v>Production</v>
          </cell>
          <cell r="E1100" t="str">
            <v>Unknown- D&amp;C</v>
          </cell>
          <cell r="F1100" t="str">
            <v>Conventional</v>
          </cell>
          <cell r="G1100">
            <v>0</v>
          </cell>
          <cell r="H1100" t="str">
            <v>Production;Unknown- D&amp;C;Conventional</v>
          </cell>
          <cell r="I1100" t="str">
            <v>Unknown- D&amp;C;Conventional;0;2</v>
          </cell>
          <cell r="J1100" t="str">
            <v>AB</v>
          </cell>
          <cell r="K1100" t="str">
            <v>Shallow</v>
          </cell>
          <cell r="L1100">
            <v>116</v>
          </cell>
          <cell r="M1100">
            <v>621.69881209999994</v>
          </cell>
        </row>
        <row r="1101">
          <cell r="A1101">
            <v>2</v>
          </cell>
          <cell r="B1101">
            <v>2006</v>
          </cell>
          <cell r="C1101">
            <v>2</v>
          </cell>
          <cell r="D1101" t="str">
            <v>Production</v>
          </cell>
          <cell r="E1101" t="str">
            <v>Unknown- D&amp;C</v>
          </cell>
          <cell r="F1101" t="str">
            <v>Conventional</v>
          </cell>
          <cell r="G1101">
            <v>0</v>
          </cell>
          <cell r="H1101" t="str">
            <v>Production;Unknown- D&amp;C;Conventional</v>
          </cell>
          <cell r="I1101" t="str">
            <v>Unknown- D&amp;C;Conventional;0;2</v>
          </cell>
          <cell r="J1101" t="str">
            <v>AB</v>
          </cell>
          <cell r="K1101" t="str">
            <v>Deep</v>
          </cell>
          <cell r="L1101">
            <v>7</v>
          </cell>
          <cell r="M1101">
            <v>80</v>
          </cell>
        </row>
        <row r="1102">
          <cell r="A1102">
            <v>2</v>
          </cell>
          <cell r="B1102">
            <v>2006</v>
          </cell>
          <cell r="C1102">
            <v>2</v>
          </cell>
          <cell r="D1102" t="str">
            <v>Production</v>
          </cell>
          <cell r="E1102" t="str">
            <v>Unknown- D&amp;C</v>
          </cell>
          <cell r="F1102" t="str">
            <v>Conventional</v>
          </cell>
          <cell r="G1102">
            <v>0</v>
          </cell>
          <cell r="H1102" t="str">
            <v>Production;Unknown- D&amp;C;Conventional</v>
          </cell>
          <cell r="I1102" t="str">
            <v>Unknown- D&amp;C;Conventional;0;2</v>
          </cell>
          <cell r="J1102" t="str">
            <v>AB</v>
          </cell>
          <cell r="K1102" t="str">
            <v>Medium</v>
          </cell>
          <cell r="L1102">
            <v>2</v>
          </cell>
          <cell r="M1102">
            <v>41</v>
          </cell>
        </row>
        <row r="1103">
          <cell r="A1103">
            <v>2</v>
          </cell>
          <cell r="B1103">
            <v>2007</v>
          </cell>
          <cell r="C1103">
            <v>1</v>
          </cell>
          <cell r="D1103" t="str">
            <v>Production</v>
          </cell>
          <cell r="E1103" t="str">
            <v>Unknown- D&amp;C</v>
          </cell>
          <cell r="F1103" t="str">
            <v>Conventional</v>
          </cell>
          <cell r="G1103">
            <v>0</v>
          </cell>
          <cell r="H1103" t="str">
            <v>Production;Unknown- D&amp;C;Conventional</v>
          </cell>
          <cell r="I1103" t="str">
            <v>Unknown- D&amp;C;Conventional;0;2</v>
          </cell>
          <cell r="J1103" t="str">
            <v>AB</v>
          </cell>
          <cell r="K1103" t="str">
            <v>Deep</v>
          </cell>
          <cell r="L1103">
            <v>218</v>
          </cell>
          <cell r="M1103">
            <v>3969</v>
          </cell>
        </row>
        <row r="1104">
          <cell r="A1104">
            <v>2</v>
          </cell>
          <cell r="B1104">
            <v>2007</v>
          </cell>
          <cell r="C1104">
            <v>1</v>
          </cell>
          <cell r="D1104" t="str">
            <v>Production</v>
          </cell>
          <cell r="E1104" t="str">
            <v>Unknown- D&amp;C</v>
          </cell>
          <cell r="F1104" t="str">
            <v>Conventional</v>
          </cell>
          <cell r="G1104">
            <v>0</v>
          </cell>
          <cell r="H1104" t="str">
            <v>Production;Unknown- D&amp;C;Conventional</v>
          </cell>
          <cell r="I1104" t="str">
            <v>Unknown- D&amp;C;Conventional;0;2</v>
          </cell>
          <cell r="J1104" t="str">
            <v>AB</v>
          </cell>
          <cell r="K1104" t="str">
            <v>Medium</v>
          </cell>
          <cell r="L1104">
            <v>277</v>
          </cell>
          <cell r="M1104">
            <v>3442</v>
          </cell>
        </row>
        <row r="1105">
          <cell r="A1105">
            <v>2</v>
          </cell>
          <cell r="B1105">
            <v>2007</v>
          </cell>
          <cell r="C1105">
            <v>1</v>
          </cell>
          <cell r="D1105" t="str">
            <v>Production</v>
          </cell>
          <cell r="E1105" t="str">
            <v>Unknown- D&amp;C</v>
          </cell>
          <cell r="F1105" t="str">
            <v>Conventional</v>
          </cell>
          <cell r="G1105">
            <v>0</v>
          </cell>
          <cell r="H1105" t="str">
            <v>Production;Unknown- D&amp;C;Conventional</v>
          </cell>
          <cell r="I1105" t="str">
            <v>Unknown- D&amp;C;Conventional;0;2</v>
          </cell>
          <cell r="J1105" t="str">
            <v>AB</v>
          </cell>
          <cell r="K1105" t="str">
            <v>Shallow</v>
          </cell>
          <cell r="L1105">
            <v>34</v>
          </cell>
          <cell r="M1105">
            <v>175</v>
          </cell>
        </row>
        <row r="1106">
          <cell r="A1106">
            <v>2</v>
          </cell>
          <cell r="B1106">
            <v>2007</v>
          </cell>
          <cell r="C1106">
            <v>2</v>
          </cell>
          <cell r="D1106" t="str">
            <v>Production</v>
          </cell>
          <cell r="E1106" t="str">
            <v>Unknown- D&amp;C</v>
          </cell>
          <cell r="F1106" t="str">
            <v>Conventional</v>
          </cell>
          <cell r="G1106">
            <v>0</v>
          </cell>
          <cell r="H1106" t="str">
            <v>Production;Unknown- D&amp;C;Conventional</v>
          </cell>
          <cell r="I1106" t="str">
            <v>Unknown- D&amp;C;Conventional;0;2</v>
          </cell>
          <cell r="J1106" t="str">
            <v>AB</v>
          </cell>
          <cell r="K1106" t="str">
            <v>Deep</v>
          </cell>
          <cell r="L1106">
            <v>4</v>
          </cell>
          <cell r="M1106">
            <v>63</v>
          </cell>
        </row>
        <row r="1107">
          <cell r="A1107">
            <v>2</v>
          </cell>
          <cell r="B1107">
            <v>2007</v>
          </cell>
          <cell r="C1107">
            <v>2</v>
          </cell>
          <cell r="D1107" t="str">
            <v>Production</v>
          </cell>
          <cell r="E1107" t="str">
            <v>Unknown- D&amp;C</v>
          </cell>
          <cell r="F1107" t="str">
            <v>Conventional</v>
          </cell>
          <cell r="G1107">
            <v>0</v>
          </cell>
          <cell r="H1107" t="str">
            <v>Production;Unknown- D&amp;C;Conventional</v>
          </cell>
          <cell r="I1107" t="str">
            <v>Unknown- D&amp;C;Conventional;0;2</v>
          </cell>
          <cell r="J1107" t="str">
            <v>AB</v>
          </cell>
          <cell r="K1107" t="str">
            <v>Medium</v>
          </cell>
          <cell r="L1107">
            <v>3</v>
          </cell>
          <cell r="M1107">
            <v>27</v>
          </cell>
        </row>
        <row r="1108">
          <cell r="A1108">
            <v>3</v>
          </cell>
          <cell r="B1108">
            <v>2000</v>
          </cell>
          <cell r="C1108">
            <v>1</v>
          </cell>
          <cell r="D1108" t="str">
            <v>Production</v>
          </cell>
          <cell r="E1108" t="str">
            <v>Unknown- D&amp;C</v>
          </cell>
          <cell r="F1108" t="str">
            <v>Conventional</v>
          </cell>
          <cell r="G1108">
            <v>0</v>
          </cell>
          <cell r="H1108" t="str">
            <v>Production;Unknown- D&amp;C;Conventional</v>
          </cell>
          <cell r="I1108" t="str">
            <v>Unknown- D&amp;C;Conventional;0;3</v>
          </cell>
          <cell r="J1108" t="str">
            <v>AB</v>
          </cell>
          <cell r="K1108" t="str">
            <v>Deep</v>
          </cell>
          <cell r="L1108">
            <v>6</v>
          </cell>
          <cell r="M1108">
            <v>172.5</v>
          </cell>
        </row>
        <row r="1109">
          <cell r="A1109">
            <v>3</v>
          </cell>
          <cell r="B1109">
            <v>2000</v>
          </cell>
          <cell r="C1109">
            <v>1</v>
          </cell>
          <cell r="D1109" t="str">
            <v>Production</v>
          </cell>
          <cell r="E1109" t="str">
            <v>Unknown- D&amp;C</v>
          </cell>
          <cell r="F1109" t="str">
            <v>Conventional</v>
          </cell>
          <cell r="G1109">
            <v>0</v>
          </cell>
          <cell r="H1109" t="str">
            <v>Production;Unknown- D&amp;C;Conventional</v>
          </cell>
          <cell r="I1109" t="str">
            <v>Unknown- D&amp;C;Conventional;0;3</v>
          </cell>
          <cell r="J1109" t="str">
            <v>AB</v>
          </cell>
          <cell r="K1109" t="str">
            <v>Medium</v>
          </cell>
          <cell r="L1109">
            <v>38</v>
          </cell>
          <cell r="M1109">
            <v>200.45</v>
          </cell>
        </row>
        <row r="1110">
          <cell r="A1110">
            <v>3</v>
          </cell>
          <cell r="B1110">
            <v>2000</v>
          </cell>
          <cell r="C1110">
            <v>1</v>
          </cell>
          <cell r="D1110" t="str">
            <v>Production</v>
          </cell>
          <cell r="E1110" t="str">
            <v>Unknown- D&amp;C</v>
          </cell>
          <cell r="F1110" t="str">
            <v>Conventional</v>
          </cell>
          <cell r="G1110">
            <v>0</v>
          </cell>
          <cell r="H1110" t="str">
            <v>Production;Unknown- D&amp;C;Conventional</v>
          </cell>
          <cell r="I1110" t="str">
            <v>Unknown- D&amp;C;Conventional;0;3</v>
          </cell>
          <cell r="J1110" t="str">
            <v>AB</v>
          </cell>
          <cell r="K1110" t="str">
            <v>SHALLOW</v>
          </cell>
          <cell r="L1110">
            <v>94</v>
          </cell>
          <cell r="M1110">
            <v>278.257476</v>
          </cell>
        </row>
        <row r="1111">
          <cell r="A1111">
            <v>3</v>
          </cell>
          <cell r="B1111">
            <v>2000</v>
          </cell>
          <cell r="C1111">
            <v>2</v>
          </cell>
          <cell r="D1111" t="str">
            <v>Production</v>
          </cell>
          <cell r="E1111" t="str">
            <v>Unknown- D&amp;C</v>
          </cell>
          <cell r="F1111" t="str">
            <v>Conventional</v>
          </cell>
          <cell r="G1111">
            <v>0</v>
          </cell>
          <cell r="H1111" t="str">
            <v>Production;Unknown- D&amp;C;Conventional</v>
          </cell>
          <cell r="I1111" t="str">
            <v>Unknown- D&amp;C;Conventional;0;3</v>
          </cell>
          <cell r="J1111" t="str">
            <v>AB</v>
          </cell>
          <cell r="K1111" t="str">
            <v>Medium</v>
          </cell>
          <cell r="L1111">
            <v>1</v>
          </cell>
          <cell r="M1111">
            <v>18</v>
          </cell>
        </row>
        <row r="1112">
          <cell r="A1112">
            <v>3</v>
          </cell>
          <cell r="B1112">
            <v>2001</v>
          </cell>
          <cell r="C1112">
            <v>1</v>
          </cell>
          <cell r="D1112" t="str">
            <v>Production</v>
          </cell>
          <cell r="E1112" t="str">
            <v>Unknown- D&amp;C</v>
          </cell>
          <cell r="F1112" t="str">
            <v>Conventional</v>
          </cell>
          <cell r="G1112">
            <v>0</v>
          </cell>
          <cell r="H1112" t="str">
            <v>Production;Unknown- D&amp;C;Conventional</v>
          </cell>
          <cell r="I1112" t="str">
            <v>Unknown- D&amp;C;Conventional;0;3</v>
          </cell>
          <cell r="J1112" t="str">
            <v>AB</v>
          </cell>
          <cell r="K1112" t="str">
            <v>Deep</v>
          </cell>
          <cell r="L1112">
            <v>4</v>
          </cell>
          <cell r="M1112">
            <v>38.8333333</v>
          </cell>
        </row>
        <row r="1113">
          <cell r="A1113">
            <v>3</v>
          </cell>
          <cell r="B1113">
            <v>2001</v>
          </cell>
          <cell r="C1113">
            <v>1</v>
          </cell>
          <cell r="D1113" t="str">
            <v>Production</v>
          </cell>
          <cell r="E1113" t="str">
            <v>Unknown- D&amp;C</v>
          </cell>
          <cell r="F1113" t="str">
            <v>Conventional</v>
          </cell>
          <cell r="G1113">
            <v>0</v>
          </cell>
          <cell r="H1113" t="str">
            <v>Production;Unknown- D&amp;C;Conventional</v>
          </cell>
          <cell r="I1113" t="str">
            <v>Unknown- D&amp;C;Conventional;0;3</v>
          </cell>
          <cell r="J1113" t="str">
            <v>AB</v>
          </cell>
          <cell r="K1113" t="str">
            <v>MEDIUM</v>
          </cell>
          <cell r="L1113">
            <v>67</v>
          </cell>
          <cell r="M1113">
            <v>561.5</v>
          </cell>
        </row>
        <row r="1114">
          <cell r="A1114">
            <v>3</v>
          </cell>
          <cell r="B1114">
            <v>2001</v>
          </cell>
          <cell r="C1114">
            <v>1</v>
          </cell>
          <cell r="D1114" t="str">
            <v>Production</v>
          </cell>
          <cell r="E1114" t="str">
            <v>Unknown- D&amp;C</v>
          </cell>
          <cell r="F1114" t="str">
            <v>Conventional</v>
          </cell>
          <cell r="G1114">
            <v>0</v>
          </cell>
          <cell r="H1114" t="str">
            <v>Production;Unknown- D&amp;C;Conventional</v>
          </cell>
          <cell r="I1114" t="str">
            <v>Unknown- D&amp;C;Conventional;0;3</v>
          </cell>
          <cell r="J1114" t="str">
            <v>AB</v>
          </cell>
          <cell r="K1114" t="str">
            <v>Shallow</v>
          </cell>
          <cell r="L1114">
            <v>122</v>
          </cell>
          <cell r="M1114">
            <v>394.93513559999997</v>
          </cell>
        </row>
        <row r="1115">
          <cell r="A1115">
            <v>3</v>
          </cell>
          <cell r="B1115">
            <v>2001</v>
          </cell>
          <cell r="C1115">
            <v>2</v>
          </cell>
          <cell r="D1115" t="str">
            <v>Production</v>
          </cell>
          <cell r="E1115" t="str">
            <v>Unknown- D&amp;C</v>
          </cell>
          <cell r="F1115" t="str">
            <v>Conventional</v>
          </cell>
          <cell r="G1115">
            <v>0</v>
          </cell>
          <cell r="H1115" t="str">
            <v>Production;Unknown- D&amp;C;Conventional</v>
          </cell>
          <cell r="I1115" t="str">
            <v>Unknown- D&amp;C;Conventional;0;3</v>
          </cell>
          <cell r="J1115" t="str">
            <v>AB</v>
          </cell>
          <cell r="K1115" t="str">
            <v>Deep</v>
          </cell>
          <cell r="L1115">
            <v>3</v>
          </cell>
          <cell r="M1115">
            <v>65</v>
          </cell>
        </row>
        <row r="1116">
          <cell r="A1116">
            <v>3</v>
          </cell>
          <cell r="B1116">
            <v>2002</v>
          </cell>
          <cell r="C1116">
            <v>1</v>
          </cell>
          <cell r="D1116" t="str">
            <v>Production</v>
          </cell>
          <cell r="E1116" t="str">
            <v>Unknown- D&amp;C</v>
          </cell>
          <cell r="F1116" t="str">
            <v>Conventional</v>
          </cell>
          <cell r="G1116">
            <v>0</v>
          </cell>
          <cell r="H1116" t="str">
            <v>Production;Unknown- D&amp;C;Conventional</v>
          </cell>
          <cell r="I1116" t="str">
            <v>Unknown- D&amp;C;Conventional;0;3</v>
          </cell>
          <cell r="J1116" t="str">
            <v>AB</v>
          </cell>
          <cell r="K1116" t="str">
            <v>Deep</v>
          </cell>
          <cell r="L1116">
            <v>4</v>
          </cell>
          <cell r="M1116">
            <v>98.833332999999996</v>
          </cell>
        </row>
        <row r="1117">
          <cell r="A1117">
            <v>3</v>
          </cell>
          <cell r="B1117">
            <v>2002</v>
          </cell>
          <cell r="C1117">
            <v>1</v>
          </cell>
          <cell r="D1117" t="str">
            <v>Production</v>
          </cell>
          <cell r="E1117" t="str">
            <v>Unknown- D&amp;C</v>
          </cell>
          <cell r="F1117" t="str">
            <v>Conventional</v>
          </cell>
          <cell r="G1117">
            <v>0</v>
          </cell>
          <cell r="H1117" t="str">
            <v>Production;Unknown- D&amp;C;Conventional</v>
          </cell>
          <cell r="I1117" t="str">
            <v>Unknown- D&amp;C;Conventional;0;3</v>
          </cell>
          <cell r="J1117" t="str">
            <v>AB</v>
          </cell>
          <cell r="K1117" t="str">
            <v>Medium</v>
          </cell>
          <cell r="L1117">
            <v>51</v>
          </cell>
          <cell r="M1117">
            <v>271.2</v>
          </cell>
        </row>
        <row r="1118">
          <cell r="A1118">
            <v>3</v>
          </cell>
          <cell r="B1118">
            <v>2002</v>
          </cell>
          <cell r="C1118">
            <v>1</v>
          </cell>
          <cell r="D1118" t="str">
            <v>Production</v>
          </cell>
          <cell r="E1118" t="str">
            <v>Unknown- D&amp;C</v>
          </cell>
          <cell r="F1118" t="str">
            <v>Conventional</v>
          </cell>
          <cell r="G1118">
            <v>0</v>
          </cell>
          <cell r="H1118" t="str">
            <v>Production;Unknown- D&amp;C;Conventional</v>
          </cell>
          <cell r="I1118" t="str">
            <v>Unknown- D&amp;C;Conventional;0;3</v>
          </cell>
          <cell r="J1118" t="str">
            <v>AB</v>
          </cell>
          <cell r="K1118" t="str">
            <v>Shallow</v>
          </cell>
          <cell r="L1118">
            <v>139</v>
          </cell>
          <cell r="M1118">
            <v>479.8286822</v>
          </cell>
        </row>
        <row r="1119">
          <cell r="A1119">
            <v>3</v>
          </cell>
          <cell r="B1119">
            <v>2002</v>
          </cell>
          <cell r="C1119">
            <v>2</v>
          </cell>
          <cell r="D1119" t="str">
            <v>Production</v>
          </cell>
          <cell r="E1119" t="str">
            <v>Unknown- D&amp;C</v>
          </cell>
          <cell r="F1119" t="str">
            <v>Conventional</v>
          </cell>
          <cell r="G1119">
            <v>0</v>
          </cell>
          <cell r="H1119" t="str">
            <v>Production;Unknown- D&amp;C;Conventional</v>
          </cell>
          <cell r="I1119" t="str">
            <v>Unknown- D&amp;C;Conventional;0;3</v>
          </cell>
          <cell r="J1119" t="str">
            <v>AB</v>
          </cell>
          <cell r="K1119" t="str">
            <v>Deep</v>
          </cell>
          <cell r="L1119">
            <v>2</v>
          </cell>
          <cell r="M1119">
            <v>24</v>
          </cell>
        </row>
        <row r="1120">
          <cell r="A1120">
            <v>3</v>
          </cell>
          <cell r="B1120">
            <v>2002</v>
          </cell>
          <cell r="C1120">
            <v>2</v>
          </cell>
          <cell r="D1120" t="str">
            <v>Production</v>
          </cell>
          <cell r="E1120" t="str">
            <v>Unknown- D&amp;C</v>
          </cell>
          <cell r="F1120" t="str">
            <v>Conventional</v>
          </cell>
          <cell r="G1120">
            <v>0</v>
          </cell>
          <cell r="H1120" t="str">
            <v>Production;Unknown- D&amp;C;Conventional</v>
          </cell>
          <cell r="I1120" t="str">
            <v>Unknown- D&amp;C;Conventional;0;3</v>
          </cell>
          <cell r="J1120" t="str">
            <v>AB</v>
          </cell>
          <cell r="K1120" t="str">
            <v>Medium</v>
          </cell>
          <cell r="L1120">
            <v>3</v>
          </cell>
          <cell r="M1120">
            <v>14</v>
          </cell>
        </row>
        <row r="1121">
          <cell r="A1121">
            <v>3</v>
          </cell>
          <cell r="B1121">
            <v>2003</v>
          </cell>
          <cell r="C1121">
            <v>1</v>
          </cell>
          <cell r="D1121" t="str">
            <v>Production</v>
          </cell>
          <cell r="E1121" t="str">
            <v>Unknown- D&amp;C</v>
          </cell>
          <cell r="F1121" t="str">
            <v>Conventional</v>
          </cell>
          <cell r="G1121">
            <v>0</v>
          </cell>
          <cell r="H1121" t="str">
            <v>Production;Unknown- D&amp;C;Conventional</v>
          </cell>
          <cell r="I1121" t="str">
            <v>Unknown- D&amp;C;Conventional;0;3</v>
          </cell>
          <cell r="J1121" t="str">
            <v>AB</v>
          </cell>
          <cell r="K1121" t="str">
            <v>Deep</v>
          </cell>
          <cell r="L1121">
            <v>1</v>
          </cell>
          <cell r="M1121">
            <v>9</v>
          </cell>
        </row>
        <row r="1122">
          <cell r="A1122">
            <v>3</v>
          </cell>
          <cell r="B1122">
            <v>2003</v>
          </cell>
          <cell r="C1122">
            <v>1</v>
          </cell>
          <cell r="D1122" t="str">
            <v>Production</v>
          </cell>
          <cell r="E1122" t="str">
            <v>Unknown- D&amp;C</v>
          </cell>
          <cell r="F1122" t="str">
            <v>Conventional</v>
          </cell>
          <cell r="G1122">
            <v>0</v>
          </cell>
          <cell r="H1122" t="str">
            <v>Production;Unknown- D&amp;C;Conventional</v>
          </cell>
          <cell r="I1122" t="str">
            <v>Unknown- D&amp;C;Conventional;0;3</v>
          </cell>
          <cell r="J1122" t="str">
            <v>AB</v>
          </cell>
          <cell r="K1122" t="str">
            <v>Medium</v>
          </cell>
          <cell r="L1122">
            <v>77</v>
          </cell>
          <cell r="M1122">
            <v>378</v>
          </cell>
        </row>
        <row r="1123">
          <cell r="A1123">
            <v>3</v>
          </cell>
          <cell r="B1123">
            <v>2003</v>
          </cell>
          <cell r="C1123">
            <v>1</v>
          </cell>
          <cell r="D1123" t="str">
            <v>Production</v>
          </cell>
          <cell r="E1123" t="str">
            <v>Unknown- D&amp;C</v>
          </cell>
          <cell r="F1123" t="str">
            <v>Conventional</v>
          </cell>
          <cell r="G1123">
            <v>0</v>
          </cell>
          <cell r="H1123" t="str">
            <v>Production;Unknown- D&amp;C;Conventional</v>
          </cell>
          <cell r="I1123" t="str">
            <v>Unknown- D&amp;C;Conventional;0;3</v>
          </cell>
          <cell r="J1123" t="str">
            <v>AB</v>
          </cell>
          <cell r="K1123" t="str">
            <v>Shallow</v>
          </cell>
          <cell r="L1123">
            <v>228</v>
          </cell>
          <cell r="M1123">
            <v>813.05924256000026</v>
          </cell>
        </row>
        <row r="1124">
          <cell r="A1124">
            <v>3</v>
          </cell>
          <cell r="B1124">
            <v>2003</v>
          </cell>
          <cell r="C1124">
            <v>2</v>
          </cell>
          <cell r="D1124" t="str">
            <v>Production</v>
          </cell>
          <cell r="E1124" t="str">
            <v>Unknown- D&amp;C</v>
          </cell>
          <cell r="F1124" t="str">
            <v>Conventional</v>
          </cell>
          <cell r="G1124">
            <v>0</v>
          </cell>
          <cell r="H1124" t="str">
            <v>Production;Unknown- D&amp;C;Conventional</v>
          </cell>
          <cell r="I1124" t="str">
            <v>Unknown- D&amp;C;Conventional;0;3</v>
          </cell>
          <cell r="J1124" t="str">
            <v>AB</v>
          </cell>
          <cell r="K1124" t="str">
            <v>Medium</v>
          </cell>
          <cell r="L1124">
            <v>1</v>
          </cell>
          <cell r="M1124">
            <v>5</v>
          </cell>
        </row>
        <row r="1125">
          <cell r="A1125">
            <v>3</v>
          </cell>
          <cell r="B1125">
            <v>2003</v>
          </cell>
          <cell r="C1125">
            <v>2</v>
          </cell>
          <cell r="D1125" t="str">
            <v>Production</v>
          </cell>
          <cell r="E1125" t="str">
            <v>Unknown- D&amp;C</v>
          </cell>
          <cell r="F1125" t="str">
            <v>Conventional</v>
          </cell>
          <cell r="G1125">
            <v>0</v>
          </cell>
          <cell r="H1125" t="str">
            <v>Production;Unknown- D&amp;C;Conventional</v>
          </cell>
          <cell r="I1125" t="str">
            <v>Unknown- D&amp;C;Conventional;0;3</v>
          </cell>
          <cell r="J1125" t="str">
            <v>AB</v>
          </cell>
          <cell r="K1125" t="str">
            <v>Shallow</v>
          </cell>
          <cell r="L1125">
            <v>1</v>
          </cell>
          <cell r="M1125">
            <v>2</v>
          </cell>
        </row>
        <row r="1126">
          <cell r="A1126">
            <v>3</v>
          </cell>
          <cell r="B1126">
            <v>2004</v>
          </cell>
          <cell r="C1126">
            <v>1</v>
          </cell>
          <cell r="D1126" t="str">
            <v>Production</v>
          </cell>
          <cell r="E1126" t="str">
            <v>Unknown- D&amp;C</v>
          </cell>
          <cell r="F1126" t="str">
            <v>Conventional</v>
          </cell>
          <cell r="G1126">
            <v>0</v>
          </cell>
          <cell r="H1126" t="str">
            <v>Production;Unknown- D&amp;C;Conventional</v>
          </cell>
          <cell r="I1126" t="str">
            <v>Unknown- D&amp;C;Conventional;0;3</v>
          </cell>
          <cell r="J1126" t="str">
            <v>AB</v>
          </cell>
          <cell r="K1126" t="str">
            <v>Deep</v>
          </cell>
          <cell r="L1126">
            <v>1</v>
          </cell>
          <cell r="M1126">
            <v>3</v>
          </cell>
        </row>
        <row r="1127">
          <cell r="A1127">
            <v>3</v>
          </cell>
          <cell r="B1127">
            <v>2004</v>
          </cell>
          <cell r="C1127">
            <v>1</v>
          </cell>
          <cell r="D1127" t="str">
            <v>Production</v>
          </cell>
          <cell r="E1127" t="str">
            <v>Unknown- D&amp;C</v>
          </cell>
          <cell r="F1127" t="str">
            <v>Conventional</v>
          </cell>
          <cell r="G1127">
            <v>0</v>
          </cell>
          <cell r="H1127" t="str">
            <v>Production;Unknown- D&amp;C;Conventional</v>
          </cell>
          <cell r="I1127" t="str">
            <v>Unknown- D&amp;C;Conventional;0;3</v>
          </cell>
          <cell r="J1127" t="str">
            <v>AB</v>
          </cell>
          <cell r="K1127" t="str">
            <v>Medium</v>
          </cell>
          <cell r="L1127">
            <v>86</v>
          </cell>
          <cell r="M1127">
            <v>525.06190470000001</v>
          </cell>
        </row>
        <row r="1128">
          <cell r="A1128">
            <v>3</v>
          </cell>
          <cell r="B1128">
            <v>2004</v>
          </cell>
          <cell r="C1128">
            <v>1</v>
          </cell>
          <cell r="D1128" t="str">
            <v>Production</v>
          </cell>
          <cell r="E1128" t="str">
            <v>Unknown- D&amp;C</v>
          </cell>
          <cell r="F1128" t="str">
            <v>Conventional</v>
          </cell>
          <cell r="G1128">
            <v>0</v>
          </cell>
          <cell r="H1128" t="str">
            <v>Production;Unknown- D&amp;C;Conventional</v>
          </cell>
          <cell r="I1128" t="str">
            <v>Unknown- D&amp;C;Conventional;0;3</v>
          </cell>
          <cell r="J1128" t="str">
            <v>AB</v>
          </cell>
          <cell r="K1128" t="str">
            <v>Shallow</v>
          </cell>
          <cell r="L1128">
            <v>243</v>
          </cell>
          <cell r="M1128">
            <v>981.77133020000008</v>
          </cell>
        </row>
        <row r="1129">
          <cell r="A1129">
            <v>3</v>
          </cell>
          <cell r="B1129">
            <v>2004</v>
          </cell>
          <cell r="C1129">
            <v>2</v>
          </cell>
          <cell r="D1129" t="str">
            <v>Production</v>
          </cell>
          <cell r="E1129" t="str">
            <v>Unknown- D&amp;C</v>
          </cell>
          <cell r="F1129" t="str">
            <v>Conventional</v>
          </cell>
          <cell r="G1129">
            <v>0</v>
          </cell>
          <cell r="H1129" t="str">
            <v>Production;Unknown- D&amp;C;Conventional</v>
          </cell>
          <cell r="I1129" t="str">
            <v>Unknown- D&amp;C;Conventional;0;3</v>
          </cell>
          <cell r="J1129" t="str">
            <v>AB</v>
          </cell>
          <cell r="K1129" t="str">
            <v>Medium</v>
          </cell>
          <cell r="L1129">
            <v>2</v>
          </cell>
          <cell r="M1129">
            <v>5</v>
          </cell>
        </row>
        <row r="1130">
          <cell r="A1130">
            <v>3</v>
          </cell>
          <cell r="B1130">
            <v>2004</v>
          </cell>
          <cell r="C1130">
            <v>2</v>
          </cell>
          <cell r="D1130" t="str">
            <v>Production</v>
          </cell>
          <cell r="E1130" t="str">
            <v>Unknown- D&amp;C</v>
          </cell>
          <cell r="F1130" t="str">
            <v>Conventional</v>
          </cell>
          <cell r="G1130">
            <v>0</v>
          </cell>
          <cell r="H1130" t="str">
            <v>Production;Unknown- D&amp;C;Conventional</v>
          </cell>
          <cell r="I1130" t="str">
            <v>Unknown- D&amp;C;Conventional;0;3</v>
          </cell>
          <cell r="J1130" t="str">
            <v>AB</v>
          </cell>
          <cell r="K1130" t="str">
            <v>Shallow</v>
          </cell>
          <cell r="L1130">
            <v>1</v>
          </cell>
          <cell r="M1130">
            <v>1</v>
          </cell>
        </row>
        <row r="1131">
          <cell r="A1131">
            <v>3</v>
          </cell>
          <cell r="B1131">
            <v>2005</v>
          </cell>
          <cell r="C1131">
            <v>1</v>
          </cell>
          <cell r="D1131" t="str">
            <v>Production</v>
          </cell>
          <cell r="E1131" t="str">
            <v>Unknown- D&amp;C</v>
          </cell>
          <cell r="F1131" t="str">
            <v>Conventional</v>
          </cell>
          <cell r="G1131">
            <v>0</v>
          </cell>
          <cell r="H1131" t="str">
            <v>Production;Unknown- D&amp;C;Conventional</v>
          </cell>
          <cell r="I1131" t="str">
            <v>Unknown- D&amp;C;Conventional;0;3</v>
          </cell>
          <cell r="J1131" t="str">
            <v>AB</v>
          </cell>
          <cell r="K1131" t="str">
            <v>Deep</v>
          </cell>
          <cell r="L1131">
            <v>6</v>
          </cell>
          <cell r="M1131">
            <v>47.666666999999997</v>
          </cell>
        </row>
        <row r="1132">
          <cell r="A1132">
            <v>3</v>
          </cell>
          <cell r="B1132">
            <v>2005</v>
          </cell>
          <cell r="C1132">
            <v>1</v>
          </cell>
          <cell r="D1132" t="str">
            <v>Production</v>
          </cell>
          <cell r="E1132" t="str">
            <v>Unknown- D&amp;C</v>
          </cell>
          <cell r="F1132" t="str">
            <v>Conventional</v>
          </cell>
          <cell r="G1132">
            <v>0</v>
          </cell>
          <cell r="H1132" t="str">
            <v>Production;Unknown- D&amp;C;Conventional</v>
          </cell>
          <cell r="I1132" t="str">
            <v>Unknown- D&amp;C;Conventional;0;3</v>
          </cell>
          <cell r="J1132" t="str">
            <v>AB</v>
          </cell>
          <cell r="K1132" t="str">
            <v>Medium</v>
          </cell>
          <cell r="L1132">
            <v>76</v>
          </cell>
          <cell r="M1132">
            <v>555.09924230000001</v>
          </cell>
        </row>
        <row r="1133">
          <cell r="A1133">
            <v>3</v>
          </cell>
          <cell r="B1133">
            <v>2005</v>
          </cell>
          <cell r="C1133">
            <v>1</v>
          </cell>
          <cell r="D1133" t="str">
            <v>Production</v>
          </cell>
          <cell r="E1133" t="str">
            <v>Unknown- D&amp;C</v>
          </cell>
          <cell r="F1133" t="str">
            <v>Conventional</v>
          </cell>
          <cell r="G1133">
            <v>0</v>
          </cell>
          <cell r="H1133" t="str">
            <v>Production;Unknown- D&amp;C;Conventional</v>
          </cell>
          <cell r="I1133" t="str">
            <v>Unknown- D&amp;C;Conventional;0;3</v>
          </cell>
          <cell r="J1133" t="str">
            <v>AB</v>
          </cell>
          <cell r="K1133" t="str">
            <v>Shallow</v>
          </cell>
          <cell r="L1133">
            <v>314</v>
          </cell>
          <cell r="M1133">
            <v>1236.4542224000006</v>
          </cell>
        </row>
        <row r="1134">
          <cell r="A1134">
            <v>3</v>
          </cell>
          <cell r="B1134">
            <v>2005</v>
          </cell>
          <cell r="C1134">
            <v>2</v>
          </cell>
          <cell r="D1134" t="str">
            <v>Production</v>
          </cell>
          <cell r="E1134" t="str">
            <v>Unknown- D&amp;C</v>
          </cell>
          <cell r="F1134" t="str">
            <v>Conventional</v>
          </cell>
          <cell r="G1134">
            <v>0</v>
          </cell>
          <cell r="H1134" t="str">
            <v>Production;Unknown- D&amp;C;Conventional</v>
          </cell>
          <cell r="I1134" t="str">
            <v>Unknown- D&amp;C;Conventional;0;3</v>
          </cell>
          <cell r="J1134" t="str">
            <v>AB</v>
          </cell>
          <cell r="K1134" t="str">
            <v>Shallow</v>
          </cell>
          <cell r="L1134">
            <v>2</v>
          </cell>
          <cell r="M1134">
            <v>2</v>
          </cell>
        </row>
        <row r="1135">
          <cell r="A1135">
            <v>3</v>
          </cell>
          <cell r="B1135">
            <v>2006</v>
          </cell>
          <cell r="C1135">
            <v>1</v>
          </cell>
          <cell r="D1135" t="str">
            <v>Production</v>
          </cell>
          <cell r="E1135" t="str">
            <v>Unknown- D&amp;C</v>
          </cell>
          <cell r="F1135" t="str">
            <v>Conventional</v>
          </cell>
          <cell r="G1135">
            <v>0</v>
          </cell>
          <cell r="H1135" t="str">
            <v>Production;Unknown- D&amp;C;Conventional</v>
          </cell>
          <cell r="I1135" t="str">
            <v>Unknown- D&amp;C;Conventional;0;3</v>
          </cell>
          <cell r="J1135" t="str">
            <v>AB</v>
          </cell>
          <cell r="K1135" t="str">
            <v>Deep</v>
          </cell>
          <cell r="L1135">
            <v>9</v>
          </cell>
          <cell r="M1135">
            <v>70.95</v>
          </cell>
        </row>
        <row r="1136">
          <cell r="A1136">
            <v>3</v>
          </cell>
          <cell r="B1136">
            <v>2006</v>
          </cell>
          <cell r="C1136">
            <v>1</v>
          </cell>
          <cell r="D1136" t="str">
            <v>Production</v>
          </cell>
          <cell r="E1136" t="str">
            <v>Unknown- D&amp;C</v>
          </cell>
          <cell r="F1136" t="str">
            <v>Conventional</v>
          </cell>
          <cell r="G1136">
            <v>0</v>
          </cell>
          <cell r="H1136" t="str">
            <v>Production;Unknown- D&amp;C;Conventional</v>
          </cell>
          <cell r="I1136" t="str">
            <v>Unknown- D&amp;C;Conventional;0;3</v>
          </cell>
          <cell r="J1136" t="str">
            <v>AB</v>
          </cell>
          <cell r="K1136" t="str">
            <v>Medium</v>
          </cell>
          <cell r="L1136">
            <v>95</v>
          </cell>
          <cell r="M1136">
            <v>637.87738760000002</v>
          </cell>
        </row>
        <row r="1137">
          <cell r="A1137">
            <v>3</v>
          </cell>
          <cell r="B1137">
            <v>2006</v>
          </cell>
          <cell r="C1137">
            <v>1</v>
          </cell>
          <cell r="D1137" t="str">
            <v>Production</v>
          </cell>
          <cell r="E1137" t="str">
            <v>Unknown- D&amp;C</v>
          </cell>
          <cell r="F1137" t="str">
            <v>Conventional</v>
          </cell>
          <cell r="G1137">
            <v>0</v>
          </cell>
          <cell r="H1137" t="str">
            <v>Production;Unknown- D&amp;C;Conventional</v>
          </cell>
          <cell r="I1137" t="str">
            <v>Unknown- D&amp;C;Conventional;0;3</v>
          </cell>
          <cell r="J1137" t="str">
            <v>AB</v>
          </cell>
          <cell r="K1137" t="str">
            <v>Shallow</v>
          </cell>
          <cell r="L1137">
            <v>732</v>
          </cell>
          <cell r="M1137">
            <v>1839.1649976500007</v>
          </cell>
        </row>
        <row r="1138">
          <cell r="A1138">
            <v>3</v>
          </cell>
          <cell r="B1138">
            <v>2006</v>
          </cell>
          <cell r="C1138">
            <v>2</v>
          </cell>
          <cell r="D1138" t="str">
            <v>Production</v>
          </cell>
          <cell r="E1138" t="str">
            <v>Unknown- D&amp;C</v>
          </cell>
          <cell r="F1138" t="str">
            <v>Conventional</v>
          </cell>
          <cell r="G1138">
            <v>0</v>
          </cell>
          <cell r="H1138" t="str">
            <v>Production;Unknown- D&amp;C;Conventional</v>
          </cell>
          <cell r="I1138" t="str">
            <v>Unknown- D&amp;C;Conventional;0;3</v>
          </cell>
          <cell r="J1138" t="str">
            <v>AB</v>
          </cell>
          <cell r="K1138" t="str">
            <v>Medium</v>
          </cell>
          <cell r="L1138">
            <v>1</v>
          </cell>
          <cell r="M1138">
            <v>1</v>
          </cell>
        </row>
        <row r="1139">
          <cell r="A1139">
            <v>3</v>
          </cell>
          <cell r="B1139">
            <v>2006</v>
          </cell>
          <cell r="C1139">
            <v>2</v>
          </cell>
          <cell r="D1139" t="str">
            <v>Production</v>
          </cell>
          <cell r="E1139" t="str">
            <v>Unknown- D&amp;C</v>
          </cell>
          <cell r="F1139" t="str">
            <v>Conventional</v>
          </cell>
          <cell r="G1139">
            <v>0</v>
          </cell>
          <cell r="H1139" t="str">
            <v>Production;Unknown- D&amp;C;Conventional</v>
          </cell>
          <cell r="I1139" t="str">
            <v>Unknown- D&amp;C;Conventional;0;3</v>
          </cell>
          <cell r="J1139" t="str">
            <v>AB</v>
          </cell>
          <cell r="K1139" t="str">
            <v>Shallow</v>
          </cell>
          <cell r="L1139">
            <v>4</v>
          </cell>
          <cell r="M1139">
            <v>62</v>
          </cell>
        </row>
        <row r="1140">
          <cell r="A1140">
            <v>3</v>
          </cell>
          <cell r="B1140">
            <v>2007</v>
          </cell>
          <cell r="C1140">
            <v>1</v>
          </cell>
          <cell r="D1140" t="str">
            <v>Production</v>
          </cell>
          <cell r="E1140" t="str">
            <v>Unknown- D&amp;C</v>
          </cell>
          <cell r="F1140" t="str">
            <v>Conventional</v>
          </cell>
          <cell r="G1140">
            <v>0</v>
          </cell>
          <cell r="H1140" t="str">
            <v>Production;Unknown- D&amp;C;Conventional</v>
          </cell>
          <cell r="I1140" t="str">
            <v>Unknown- D&amp;C;Conventional;0;3</v>
          </cell>
          <cell r="J1140" t="str">
            <v>AB</v>
          </cell>
          <cell r="K1140" t="str">
            <v>Deep</v>
          </cell>
          <cell r="L1140">
            <v>1</v>
          </cell>
          <cell r="M1140">
            <v>27</v>
          </cell>
        </row>
        <row r="1141">
          <cell r="A1141">
            <v>3</v>
          </cell>
          <cell r="B1141">
            <v>2007</v>
          </cell>
          <cell r="C1141">
            <v>1</v>
          </cell>
          <cell r="D1141" t="str">
            <v>Production</v>
          </cell>
          <cell r="E1141" t="str">
            <v>Unknown- D&amp;C</v>
          </cell>
          <cell r="F1141" t="str">
            <v>Conventional</v>
          </cell>
          <cell r="G1141">
            <v>0</v>
          </cell>
          <cell r="H1141" t="str">
            <v>Production;Unknown- D&amp;C;Conventional</v>
          </cell>
          <cell r="I1141" t="str">
            <v>Unknown- D&amp;C;Conventional;0;3</v>
          </cell>
          <cell r="J1141" t="str">
            <v>AB</v>
          </cell>
          <cell r="K1141" t="str">
            <v>Medium</v>
          </cell>
          <cell r="L1141">
            <v>62</v>
          </cell>
          <cell r="M1141">
            <v>353</v>
          </cell>
        </row>
        <row r="1142">
          <cell r="A1142">
            <v>3</v>
          </cell>
          <cell r="B1142">
            <v>2007</v>
          </cell>
          <cell r="C1142">
            <v>1</v>
          </cell>
          <cell r="D1142" t="str">
            <v>Production</v>
          </cell>
          <cell r="E1142" t="str">
            <v>Unknown- D&amp;C</v>
          </cell>
          <cell r="F1142" t="str">
            <v>Conventional</v>
          </cell>
          <cell r="G1142">
            <v>0</v>
          </cell>
          <cell r="H1142" t="str">
            <v>Production;Unknown- D&amp;C;Conventional</v>
          </cell>
          <cell r="I1142" t="str">
            <v>Unknown- D&amp;C;Conventional;0;3</v>
          </cell>
          <cell r="J1142" t="str">
            <v>AB</v>
          </cell>
          <cell r="K1142" t="str">
            <v>Shallow</v>
          </cell>
          <cell r="L1142">
            <v>582</v>
          </cell>
          <cell r="M1142">
            <v>1683.4625000000001</v>
          </cell>
        </row>
        <row r="1143">
          <cell r="A1143">
            <v>3</v>
          </cell>
          <cell r="B1143">
            <v>2007</v>
          </cell>
          <cell r="C1143">
            <v>2</v>
          </cell>
          <cell r="D1143" t="str">
            <v>Production</v>
          </cell>
          <cell r="E1143" t="str">
            <v>Unknown- D&amp;C</v>
          </cell>
          <cell r="F1143" t="str">
            <v>Conventional</v>
          </cell>
          <cell r="G1143">
            <v>0</v>
          </cell>
          <cell r="H1143" t="str">
            <v>Production;Unknown- D&amp;C;Conventional</v>
          </cell>
          <cell r="I1143" t="str">
            <v>Unknown- D&amp;C;Conventional;0;3</v>
          </cell>
          <cell r="J1143" t="str">
            <v>AB</v>
          </cell>
          <cell r="K1143" t="str">
            <v>Medium</v>
          </cell>
          <cell r="L1143">
            <v>1</v>
          </cell>
          <cell r="M1143">
            <v>7</v>
          </cell>
        </row>
        <row r="1144">
          <cell r="A1144">
            <v>4</v>
          </cell>
          <cell r="B1144">
            <v>2000</v>
          </cell>
          <cell r="C1144">
            <v>1</v>
          </cell>
          <cell r="D1144" t="str">
            <v>Production</v>
          </cell>
          <cell r="E1144" t="str">
            <v>Unknown- D&amp;C</v>
          </cell>
          <cell r="F1144" t="str">
            <v>Conventional</v>
          </cell>
          <cell r="G1144">
            <v>0</v>
          </cell>
          <cell r="H1144" t="str">
            <v>Production;Unknown- D&amp;C;Conventional</v>
          </cell>
          <cell r="I1144" t="str">
            <v>Unknown- D&amp;C;Conventional;0;4</v>
          </cell>
          <cell r="J1144" t="str">
            <v>AB</v>
          </cell>
          <cell r="K1144" t="str">
            <v>Deep</v>
          </cell>
          <cell r="L1144">
            <v>2</v>
          </cell>
          <cell r="M1144">
            <v>19</v>
          </cell>
        </row>
        <row r="1145">
          <cell r="A1145">
            <v>4</v>
          </cell>
          <cell r="B1145">
            <v>2000</v>
          </cell>
          <cell r="C1145">
            <v>1</v>
          </cell>
          <cell r="D1145" t="str">
            <v>Production</v>
          </cell>
          <cell r="E1145" t="str">
            <v>Unknown- D&amp;C</v>
          </cell>
          <cell r="F1145" t="str">
            <v>Conventional</v>
          </cell>
          <cell r="G1145">
            <v>0</v>
          </cell>
          <cell r="H1145" t="str">
            <v>Production;Unknown- D&amp;C;Conventional</v>
          </cell>
          <cell r="I1145" t="str">
            <v>Unknown- D&amp;C;Conventional;0;4</v>
          </cell>
          <cell r="J1145" t="str">
            <v>AB</v>
          </cell>
          <cell r="K1145" t="str">
            <v>MEDIUM</v>
          </cell>
          <cell r="L1145">
            <v>13</v>
          </cell>
          <cell r="M1145">
            <v>30.833333</v>
          </cell>
        </row>
        <row r="1146">
          <cell r="A1146">
            <v>4</v>
          </cell>
          <cell r="B1146">
            <v>2000</v>
          </cell>
          <cell r="C1146">
            <v>1</v>
          </cell>
          <cell r="D1146" t="str">
            <v>Production</v>
          </cell>
          <cell r="E1146" t="str">
            <v>Unknown- D&amp;C</v>
          </cell>
          <cell r="F1146" t="str">
            <v>Conventional</v>
          </cell>
          <cell r="G1146">
            <v>0</v>
          </cell>
          <cell r="H1146" t="str">
            <v>Production;Unknown- D&amp;C;Conventional</v>
          </cell>
          <cell r="I1146" t="str">
            <v>Unknown- D&amp;C;Conventional;0;4</v>
          </cell>
          <cell r="J1146" t="str">
            <v>AB</v>
          </cell>
          <cell r="K1146" t="str">
            <v>SHALLOW</v>
          </cell>
          <cell r="L1146">
            <v>31</v>
          </cell>
          <cell r="M1146">
            <v>103</v>
          </cell>
        </row>
        <row r="1147">
          <cell r="A1147">
            <v>4</v>
          </cell>
          <cell r="B1147">
            <v>2001</v>
          </cell>
          <cell r="C1147">
            <v>1</v>
          </cell>
          <cell r="D1147" t="str">
            <v>Production</v>
          </cell>
          <cell r="E1147" t="str">
            <v>Unknown- D&amp;C</v>
          </cell>
          <cell r="F1147" t="str">
            <v>Conventional</v>
          </cell>
          <cell r="G1147">
            <v>0</v>
          </cell>
          <cell r="H1147" t="str">
            <v>Production;Unknown- D&amp;C;Conventional</v>
          </cell>
          <cell r="I1147" t="str">
            <v>Unknown- D&amp;C;Conventional;0;4</v>
          </cell>
          <cell r="J1147" t="str">
            <v>AB</v>
          </cell>
          <cell r="K1147" t="str">
            <v>Medium</v>
          </cell>
          <cell r="L1147">
            <v>9</v>
          </cell>
          <cell r="M1147">
            <v>30</v>
          </cell>
        </row>
        <row r="1148">
          <cell r="A1148">
            <v>4</v>
          </cell>
          <cell r="B1148">
            <v>2001</v>
          </cell>
          <cell r="C1148">
            <v>1</v>
          </cell>
          <cell r="D1148" t="str">
            <v>Production</v>
          </cell>
          <cell r="E1148" t="str">
            <v>Unknown- D&amp;C</v>
          </cell>
          <cell r="F1148" t="str">
            <v>Conventional</v>
          </cell>
          <cell r="G1148">
            <v>0</v>
          </cell>
          <cell r="H1148" t="str">
            <v>Production;Unknown- D&amp;C;Conventional</v>
          </cell>
          <cell r="I1148" t="str">
            <v>Unknown- D&amp;C;Conventional;0;4</v>
          </cell>
          <cell r="J1148" t="str">
            <v>AB</v>
          </cell>
          <cell r="K1148" t="str">
            <v>Shallow</v>
          </cell>
          <cell r="L1148">
            <v>46</v>
          </cell>
          <cell r="M1148">
            <v>134.35</v>
          </cell>
        </row>
        <row r="1149">
          <cell r="A1149">
            <v>4</v>
          </cell>
          <cell r="B1149">
            <v>2002</v>
          </cell>
          <cell r="C1149">
            <v>1</v>
          </cell>
          <cell r="D1149" t="str">
            <v>Production</v>
          </cell>
          <cell r="E1149" t="str">
            <v>Unknown- D&amp;C</v>
          </cell>
          <cell r="F1149" t="str">
            <v>Conventional</v>
          </cell>
          <cell r="G1149">
            <v>0</v>
          </cell>
          <cell r="H1149" t="str">
            <v>Production;Unknown- D&amp;C;Conventional</v>
          </cell>
          <cell r="I1149" t="str">
            <v>Unknown- D&amp;C;Conventional;0;4</v>
          </cell>
          <cell r="J1149" t="str">
            <v>AB</v>
          </cell>
          <cell r="K1149" t="str">
            <v>Medium</v>
          </cell>
          <cell r="L1149">
            <v>5</v>
          </cell>
          <cell r="M1149">
            <v>40.6</v>
          </cell>
        </row>
        <row r="1150">
          <cell r="A1150">
            <v>4</v>
          </cell>
          <cell r="B1150">
            <v>2002</v>
          </cell>
          <cell r="C1150">
            <v>1</v>
          </cell>
          <cell r="D1150" t="str">
            <v>Production</v>
          </cell>
          <cell r="E1150" t="str">
            <v>Unknown- D&amp;C</v>
          </cell>
          <cell r="F1150" t="str">
            <v>Conventional</v>
          </cell>
          <cell r="G1150">
            <v>0</v>
          </cell>
          <cell r="H1150" t="str">
            <v>Production;Unknown- D&amp;C;Conventional</v>
          </cell>
          <cell r="I1150" t="str">
            <v>Unknown- D&amp;C;Conventional;0;4</v>
          </cell>
          <cell r="J1150" t="str">
            <v>AB</v>
          </cell>
          <cell r="K1150" t="str">
            <v>Shallow</v>
          </cell>
          <cell r="L1150">
            <v>62</v>
          </cell>
          <cell r="M1150">
            <v>173.63552329999999</v>
          </cell>
        </row>
        <row r="1151">
          <cell r="A1151">
            <v>4</v>
          </cell>
          <cell r="B1151">
            <v>2003</v>
          </cell>
          <cell r="C1151">
            <v>1</v>
          </cell>
          <cell r="D1151" t="str">
            <v>Production</v>
          </cell>
          <cell r="E1151" t="str">
            <v>Unknown- D&amp;C</v>
          </cell>
          <cell r="F1151" t="str">
            <v>Conventional</v>
          </cell>
          <cell r="G1151">
            <v>0</v>
          </cell>
          <cell r="H1151" t="str">
            <v>Production;Unknown- D&amp;C;Conventional</v>
          </cell>
          <cell r="I1151" t="str">
            <v>Unknown- D&amp;C;Conventional;0;4</v>
          </cell>
          <cell r="J1151" t="str">
            <v>AB</v>
          </cell>
          <cell r="K1151" t="str">
            <v>Medium</v>
          </cell>
          <cell r="L1151">
            <v>19</v>
          </cell>
          <cell r="M1151">
            <v>243</v>
          </cell>
        </row>
        <row r="1152">
          <cell r="A1152">
            <v>4</v>
          </cell>
          <cell r="B1152">
            <v>2003</v>
          </cell>
          <cell r="C1152">
            <v>1</v>
          </cell>
          <cell r="D1152" t="str">
            <v>Production</v>
          </cell>
          <cell r="E1152" t="str">
            <v>Unknown- D&amp;C</v>
          </cell>
          <cell r="F1152" t="str">
            <v>Conventional</v>
          </cell>
          <cell r="G1152">
            <v>0</v>
          </cell>
          <cell r="H1152" t="str">
            <v>Production;Unknown- D&amp;C;Conventional</v>
          </cell>
          <cell r="I1152" t="str">
            <v>Unknown- D&amp;C;Conventional;0;4</v>
          </cell>
          <cell r="J1152" t="str">
            <v>AB</v>
          </cell>
          <cell r="K1152" t="str">
            <v>Shallow</v>
          </cell>
          <cell r="L1152">
            <v>63</v>
          </cell>
          <cell r="M1152">
            <v>215.94031390000001</v>
          </cell>
        </row>
        <row r="1153">
          <cell r="A1153">
            <v>4</v>
          </cell>
          <cell r="B1153">
            <v>2004</v>
          </cell>
          <cell r="C1153">
            <v>1</v>
          </cell>
          <cell r="D1153" t="str">
            <v>Production</v>
          </cell>
          <cell r="E1153" t="str">
            <v>Unknown- D&amp;C</v>
          </cell>
          <cell r="F1153" t="str">
            <v>Conventional</v>
          </cell>
          <cell r="G1153">
            <v>0</v>
          </cell>
          <cell r="H1153" t="str">
            <v>Production;Unknown- D&amp;C;Conventional</v>
          </cell>
          <cell r="I1153" t="str">
            <v>Unknown- D&amp;C;Conventional;0;4</v>
          </cell>
          <cell r="J1153" t="str">
            <v>AB</v>
          </cell>
          <cell r="K1153" t="str">
            <v>Deep</v>
          </cell>
          <cell r="L1153">
            <v>8</v>
          </cell>
          <cell r="M1153">
            <v>18.333333</v>
          </cell>
        </row>
        <row r="1154">
          <cell r="A1154">
            <v>4</v>
          </cell>
          <cell r="B1154">
            <v>2004</v>
          </cell>
          <cell r="C1154">
            <v>1</v>
          </cell>
          <cell r="D1154" t="str">
            <v>Production</v>
          </cell>
          <cell r="E1154" t="str">
            <v>Unknown- D&amp;C</v>
          </cell>
          <cell r="F1154" t="str">
            <v>Conventional</v>
          </cell>
          <cell r="G1154">
            <v>0</v>
          </cell>
          <cell r="H1154" t="str">
            <v>Production;Unknown- D&amp;C;Conventional</v>
          </cell>
          <cell r="I1154" t="str">
            <v>Unknown- D&amp;C;Conventional;0;4</v>
          </cell>
          <cell r="J1154" t="str">
            <v>AB</v>
          </cell>
          <cell r="K1154" t="str">
            <v>Medium</v>
          </cell>
          <cell r="L1154">
            <v>15</v>
          </cell>
          <cell r="M1154">
            <v>36</v>
          </cell>
        </row>
        <row r="1155">
          <cell r="A1155">
            <v>4</v>
          </cell>
          <cell r="B1155">
            <v>2004</v>
          </cell>
          <cell r="C1155">
            <v>1</v>
          </cell>
          <cell r="D1155" t="str">
            <v>Production</v>
          </cell>
          <cell r="E1155" t="str">
            <v>Unknown- D&amp;C</v>
          </cell>
          <cell r="F1155" t="str">
            <v>Conventional</v>
          </cell>
          <cell r="G1155">
            <v>0</v>
          </cell>
          <cell r="H1155" t="str">
            <v>Production;Unknown- D&amp;C;Conventional</v>
          </cell>
          <cell r="I1155" t="str">
            <v>Unknown- D&amp;C;Conventional;0;4</v>
          </cell>
          <cell r="J1155" t="str">
            <v>AB</v>
          </cell>
          <cell r="K1155" t="str">
            <v>Shallow</v>
          </cell>
          <cell r="L1155">
            <v>93</v>
          </cell>
          <cell r="M1155">
            <v>294.04670369999997</v>
          </cell>
        </row>
        <row r="1156">
          <cell r="A1156">
            <v>4</v>
          </cell>
          <cell r="B1156">
            <v>2005</v>
          </cell>
          <cell r="C1156">
            <v>1</v>
          </cell>
          <cell r="D1156" t="str">
            <v>Production</v>
          </cell>
          <cell r="E1156" t="str">
            <v>Unknown- D&amp;C</v>
          </cell>
          <cell r="F1156" t="str">
            <v>Conventional</v>
          </cell>
          <cell r="G1156">
            <v>0</v>
          </cell>
          <cell r="H1156" t="str">
            <v>Production;Unknown- D&amp;C;Conventional</v>
          </cell>
          <cell r="I1156" t="str">
            <v>Unknown- D&amp;C;Conventional;0;4</v>
          </cell>
          <cell r="J1156" t="str">
            <v>AB</v>
          </cell>
          <cell r="K1156" t="str">
            <v>Deep</v>
          </cell>
          <cell r="L1156">
            <v>5</v>
          </cell>
          <cell r="M1156">
            <v>10.083333</v>
          </cell>
        </row>
        <row r="1157">
          <cell r="A1157">
            <v>4</v>
          </cell>
          <cell r="B1157">
            <v>2005</v>
          </cell>
          <cell r="C1157">
            <v>1</v>
          </cell>
          <cell r="D1157" t="str">
            <v>Production</v>
          </cell>
          <cell r="E1157" t="str">
            <v>Unknown- D&amp;C</v>
          </cell>
          <cell r="F1157" t="str">
            <v>Conventional</v>
          </cell>
          <cell r="G1157">
            <v>0</v>
          </cell>
          <cell r="H1157" t="str">
            <v>Production;Unknown- D&amp;C;Conventional</v>
          </cell>
          <cell r="I1157" t="str">
            <v>Unknown- D&amp;C;Conventional;0;4</v>
          </cell>
          <cell r="J1157" t="str">
            <v>AB</v>
          </cell>
          <cell r="K1157" t="str">
            <v>Medium</v>
          </cell>
          <cell r="L1157">
            <v>15</v>
          </cell>
          <cell r="M1157">
            <v>95</v>
          </cell>
        </row>
        <row r="1158">
          <cell r="A1158">
            <v>4</v>
          </cell>
          <cell r="B1158">
            <v>2005</v>
          </cell>
          <cell r="C1158">
            <v>1</v>
          </cell>
          <cell r="D1158" t="str">
            <v>Production</v>
          </cell>
          <cell r="E1158" t="str">
            <v>Unknown- D&amp;C</v>
          </cell>
          <cell r="F1158" t="str">
            <v>Conventional</v>
          </cell>
          <cell r="G1158">
            <v>0</v>
          </cell>
          <cell r="H1158" t="str">
            <v>Production;Unknown- D&amp;C;Conventional</v>
          </cell>
          <cell r="I1158" t="str">
            <v>Unknown- D&amp;C;Conventional;0;4</v>
          </cell>
          <cell r="J1158" t="str">
            <v>AB</v>
          </cell>
          <cell r="K1158" t="str">
            <v>Shallow</v>
          </cell>
          <cell r="L1158">
            <v>120</v>
          </cell>
          <cell r="M1158">
            <v>443.62044539999988</v>
          </cell>
        </row>
        <row r="1159">
          <cell r="A1159">
            <v>4</v>
          </cell>
          <cell r="B1159">
            <v>2005</v>
          </cell>
          <cell r="C1159">
            <v>2</v>
          </cell>
          <cell r="D1159" t="str">
            <v>Production</v>
          </cell>
          <cell r="E1159" t="str">
            <v>Unknown- D&amp;C</v>
          </cell>
          <cell r="F1159" t="str">
            <v>Conventional</v>
          </cell>
          <cell r="G1159">
            <v>0</v>
          </cell>
          <cell r="H1159" t="str">
            <v>Production;Unknown- D&amp;C;Conventional</v>
          </cell>
          <cell r="I1159" t="str">
            <v>Unknown- D&amp;C;Conventional;0;4</v>
          </cell>
          <cell r="J1159" t="str">
            <v>AB</v>
          </cell>
          <cell r="K1159" t="str">
            <v>Shallow</v>
          </cell>
          <cell r="L1159">
            <v>2</v>
          </cell>
          <cell r="M1159">
            <v>4.1666670000000003</v>
          </cell>
        </row>
        <row r="1160">
          <cell r="A1160">
            <v>4</v>
          </cell>
          <cell r="B1160">
            <v>2006</v>
          </cell>
          <cell r="C1160">
            <v>1</v>
          </cell>
          <cell r="D1160" t="str">
            <v>Production</v>
          </cell>
          <cell r="E1160" t="str">
            <v>Unknown- D&amp;C</v>
          </cell>
          <cell r="F1160" t="str">
            <v>Conventional</v>
          </cell>
          <cell r="G1160">
            <v>0</v>
          </cell>
          <cell r="H1160" t="str">
            <v>Production;Unknown- D&amp;C;Conventional</v>
          </cell>
          <cell r="I1160" t="str">
            <v>Unknown- D&amp;C;Conventional;0;4</v>
          </cell>
          <cell r="J1160" t="str">
            <v>AB</v>
          </cell>
          <cell r="K1160" t="str">
            <v>Deep</v>
          </cell>
          <cell r="L1160">
            <v>3</v>
          </cell>
          <cell r="M1160">
            <v>2.8761907999999998</v>
          </cell>
        </row>
        <row r="1161">
          <cell r="A1161">
            <v>4</v>
          </cell>
          <cell r="B1161">
            <v>2006</v>
          </cell>
          <cell r="C1161">
            <v>1</v>
          </cell>
          <cell r="D1161" t="str">
            <v>Production</v>
          </cell>
          <cell r="E1161" t="str">
            <v>Unknown- D&amp;C</v>
          </cell>
          <cell r="F1161" t="str">
            <v>Conventional</v>
          </cell>
          <cell r="G1161">
            <v>0</v>
          </cell>
          <cell r="H1161" t="str">
            <v>Production;Unknown- D&amp;C;Conventional</v>
          </cell>
          <cell r="I1161" t="str">
            <v>Unknown- D&amp;C;Conventional;0;4</v>
          </cell>
          <cell r="J1161" t="str">
            <v>AB</v>
          </cell>
          <cell r="K1161" t="str">
            <v>Medium</v>
          </cell>
          <cell r="L1161">
            <v>16</v>
          </cell>
          <cell r="M1161">
            <v>178.5</v>
          </cell>
        </row>
        <row r="1162">
          <cell r="A1162">
            <v>4</v>
          </cell>
          <cell r="B1162">
            <v>2006</v>
          </cell>
          <cell r="C1162">
            <v>1</v>
          </cell>
          <cell r="D1162" t="str">
            <v>Production</v>
          </cell>
          <cell r="E1162" t="str">
            <v>Unknown- D&amp;C</v>
          </cell>
          <cell r="F1162" t="str">
            <v>Conventional</v>
          </cell>
          <cell r="G1162">
            <v>0</v>
          </cell>
          <cell r="H1162" t="str">
            <v>Production;Unknown- D&amp;C;Conventional</v>
          </cell>
          <cell r="I1162" t="str">
            <v>Unknown- D&amp;C;Conventional;0;4</v>
          </cell>
          <cell r="J1162" t="str">
            <v>AB</v>
          </cell>
          <cell r="K1162" t="str">
            <v>Shallow</v>
          </cell>
          <cell r="L1162">
            <v>297</v>
          </cell>
          <cell r="M1162">
            <v>980.07306010000048</v>
          </cell>
        </row>
        <row r="1163">
          <cell r="A1163">
            <v>4</v>
          </cell>
          <cell r="B1163">
            <v>2006</v>
          </cell>
          <cell r="C1163">
            <v>2</v>
          </cell>
          <cell r="D1163" t="str">
            <v>Production</v>
          </cell>
          <cell r="E1163" t="str">
            <v>Unknown- D&amp;C</v>
          </cell>
          <cell r="F1163" t="str">
            <v>Conventional</v>
          </cell>
          <cell r="G1163">
            <v>0</v>
          </cell>
          <cell r="H1163" t="str">
            <v>Production;Unknown- D&amp;C;Conventional</v>
          </cell>
          <cell r="I1163" t="str">
            <v>Unknown- D&amp;C;Conventional;0;4</v>
          </cell>
          <cell r="J1163" t="str">
            <v>AB</v>
          </cell>
          <cell r="K1163" t="str">
            <v>Medium</v>
          </cell>
          <cell r="L1163">
            <v>3</v>
          </cell>
          <cell r="M1163">
            <v>7</v>
          </cell>
        </row>
        <row r="1164">
          <cell r="A1164">
            <v>4</v>
          </cell>
          <cell r="B1164">
            <v>2006</v>
          </cell>
          <cell r="C1164">
            <v>2</v>
          </cell>
          <cell r="D1164" t="str">
            <v>Production</v>
          </cell>
          <cell r="E1164" t="str">
            <v>Unknown- D&amp;C</v>
          </cell>
          <cell r="F1164" t="str">
            <v>Conventional</v>
          </cell>
          <cell r="G1164">
            <v>0</v>
          </cell>
          <cell r="H1164" t="str">
            <v>Production;Unknown- D&amp;C;Conventional</v>
          </cell>
          <cell r="I1164" t="str">
            <v>Unknown- D&amp;C;Conventional;0;4</v>
          </cell>
          <cell r="J1164" t="str">
            <v>AB</v>
          </cell>
          <cell r="K1164" t="str">
            <v>Shallow</v>
          </cell>
          <cell r="L1164">
            <v>3</v>
          </cell>
          <cell r="M1164">
            <v>17</v>
          </cell>
        </row>
        <row r="1165">
          <cell r="A1165">
            <v>4</v>
          </cell>
          <cell r="B1165">
            <v>2007</v>
          </cell>
          <cell r="C1165">
            <v>1</v>
          </cell>
          <cell r="D1165" t="str">
            <v>Production</v>
          </cell>
          <cell r="E1165" t="str">
            <v>Unknown- D&amp;C</v>
          </cell>
          <cell r="F1165" t="str">
            <v>Conventional</v>
          </cell>
          <cell r="G1165">
            <v>0</v>
          </cell>
          <cell r="H1165" t="str">
            <v>Production;Unknown- D&amp;C;Conventional</v>
          </cell>
          <cell r="I1165" t="str">
            <v>Unknown- D&amp;C;Conventional;0;4</v>
          </cell>
          <cell r="J1165" t="str">
            <v>AB</v>
          </cell>
          <cell r="K1165" t="str">
            <v>Medium</v>
          </cell>
          <cell r="L1165">
            <v>44</v>
          </cell>
          <cell r="M1165">
            <v>201.938131</v>
          </cell>
        </row>
        <row r="1166">
          <cell r="A1166">
            <v>4</v>
          </cell>
          <cell r="B1166">
            <v>2007</v>
          </cell>
          <cell r="C1166">
            <v>1</v>
          </cell>
          <cell r="D1166" t="str">
            <v>Production</v>
          </cell>
          <cell r="E1166" t="str">
            <v>Unknown- D&amp;C</v>
          </cell>
          <cell r="F1166" t="str">
            <v>Conventional</v>
          </cell>
          <cell r="G1166">
            <v>0</v>
          </cell>
          <cell r="H1166" t="str">
            <v>Production;Unknown- D&amp;C;Conventional</v>
          </cell>
          <cell r="I1166" t="str">
            <v>Unknown- D&amp;C;Conventional;0;4</v>
          </cell>
          <cell r="J1166" t="str">
            <v>AB</v>
          </cell>
          <cell r="K1166" t="str">
            <v>Shallow</v>
          </cell>
          <cell r="L1166">
            <v>141</v>
          </cell>
          <cell r="M1166">
            <v>636</v>
          </cell>
        </row>
        <row r="1167">
          <cell r="A1167">
            <v>4</v>
          </cell>
          <cell r="B1167">
            <v>2007</v>
          </cell>
          <cell r="C1167">
            <v>2</v>
          </cell>
          <cell r="D1167" t="str">
            <v>Production</v>
          </cell>
          <cell r="E1167" t="str">
            <v>Unknown- D&amp;C</v>
          </cell>
          <cell r="F1167" t="str">
            <v>Conventional</v>
          </cell>
          <cell r="G1167">
            <v>0</v>
          </cell>
          <cell r="H1167" t="str">
            <v>Production;Unknown- D&amp;C;Conventional</v>
          </cell>
          <cell r="I1167" t="str">
            <v>Unknown- D&amp;C;Conventional;0;4</v>
          </cell>
          <cell r="J1167" t="str">
            <v>AB</v>
          </cell>
          <cell r="K1167" t="str">
            <v>Shallow</v>
          </cell>
          <cell r="L1167">
            <v>2</v>
          </cell>
          <cell r="M1167">
            <v>369</v>
          </cell>
        </row>
        <row r="1168">
          <cell r="A1168">
            <v>5</v>
          </cell>
          <cell r="B1168">
            <v>2000</v>
          </cell>
          <cell r="C1168">
            <v>1</v>
          </cell>
          <cell r="D1168" t="str">
            <v>Production</v>
          </cell>
          <cell r="E1168" t="str">
            <v>Unknown- D&amp;C</v>
          </cell>
          <cell r="F1168" t="str">
            <v>Conventional</v>
          </cell>
          <cell r="G1168">
            <v>0</v>
          </cell>
          <cell r="H1168" t="str">
            <v>Production;Unknown- D&amp;C;Conventional</v>
          </cell>
          <cell r="I1168" t="str">
            <v>Unknown- D&amp;C;Conventional;0;5</v>
          </cell>
          <cell r="J1168" t="str">
            <v>AB</v>
          </cell>
          <cell r="K1168" t="str">
            <v>Deep</v>
          </cell>
          <cell r="L1168">
            <v>6</v>
          </cell>
          <cell r="M1168">
            <v>105.5</v>
          </cell>
        </row>
        <row r="1169">
          <cell r="A1169">
            <v>5</v>
          </cell>
          <cell r="B1169">
            <v>2000</v>
          </cell>
          <cell r="C1169">
            <v>1</v>
          </cell>
          <cell r="D1169" t="str">
            <v>Production</v>
          </cell>
          <cell r="E1169" t="str">
            <v>Unknown- D&amp;C</v>
          </cell>
          <cell r="F1169" t="str">
            <v>Conventional</v>
          </cell>
          <cell r="G1169">
            <v>0</v>
          </cell>
          <cell r="H1169" t="str">
            <v>Production;Unknown- D&amp;C;Conventional</v>
          </cell>
          <cell r="I1169" t="str">
            <v>Unknown- D&amp;C;Conventional;0;5</v>
          </cell>
          <cell r="J1169" t="str">
            <v>AB</v>
          </cell>
          <cell r="K1169" t="str">
            <v>MEDIUM</v>
          </cell>
          <cell r="L1169">
            <v>42</v>
          </cell>
          <cell r="M1169">
            <v>325</v>
          </cell>
        </row>
        <row r="1170">
          <cell r="A1170">
            <v>5</v>
          </cell>
          <cell r="B1170">
            <v>2000</v>
          </cell>
          <cell r="C1170">
            <v>1</v>
          </cell>
          <cell r="D1170" t="str">
            <v>Production</v>
          </cell>
          <cell r="E1170" t="str">
            <v>Unknown- D&amp;C</v>
          </cell>
          <cell r="F1170" t="str">
            <v>Conventional</v>
          </cell>
          <cell r="G1170">
            <v>0</v>
          </cell>
          <cell r="H1170" t="str">
            <v>Production;Unknown- D&amp;C;Conventional</v>
          </cell>
          <cell r="I1170" t="str">
            <v>Unknown- D&amp;C;Conventional;0;5</v>
          </cell>
          <cell r="J1170" t="str">
            <v>AB</v>
          </cell>
          <cell r="K1170" t="str">
            <v>Shallow</v>
          </cell>
          <cell r="L1170">
            <v>43</v>
          </cell>
          <cell r="M1170">
            <v>114.08388239999999</v>
          </cell>
        </row>
        <row r="1171">
          <cell r="A1171">
            <v>5</v>
          </cell>
          <cell r="B1171">
            <v>2000</v>
          </cell>
          <cell r="C1171">
            <v>2</v>
          </cell>
          <cell r="D1171" t="str">
            <v>Production</v>
          </cell>
          <cell r="E1171" t="str">
            <v>Unknown- D&amp;C</v>
          </cell>
          <cell r="F1171" t="str">
            <v>Conventional</v>
          </cell>
          <cell r="G1171">
            <v>0</v>
          </cell>
          <cell r="H1171" t="str">
            <v>Production;Unknown- D&amp;C;Conventional</v>
          </cell>
          <cell r="I1171" t="str">
            <v>Unknown- D&amp;C;Conventional;0;5</v>
          </cell>
          <cell r="J1171" t="str">
            <v>AB</v>
          </cell>
          <cell r="K1171" t="str">
            <v>Deep</v>
          </cell>
          <cell r="L1171">
            <v>1</v>
          </cell>
          <cell r="M1171">
            <v>12</v>
          </cell>
        </row>
        <row r="1172">
          <cell r="A1172">
            <v>5</v>
          </cell>
          <cell r="B1172">
            <v>2001</v>
          </cell>
          <cell r="C1172">
            <v>1</v>
          </cell>
          <cell r="D1172" t="str">
            <v>Production</v>
          </cell>
          <cell r="E1172" t="str">
            <v>Unknown- D&amp;C</v>
          </cell>
          <cell r="F1172" t="str">
            <v>Conventional</v>
          </cell>
          <cell r="G1172">
            <v>0</v>
          </cell>
          <cell r="H1172" t="str">
            <v>Production;Unknown- D&amp;C;Conventional</v>
          </cell>
          <cell r="I1172" t="str">
            <v>Unknown- D&amp;C;Conventional;0;5</v>
          </cell>
          <cell r="J1172" t="str">
            <v>AB</v>
          </cell>
          <cell r="K1172" t="str">
            <v>Deep</v>
          </cell>
          <cell r="L1172">
            <v>8</v>
          </cell>
          <cell r="M1172">
            <v>110</v>
          </cell>
        </row>
        <row r="1173">
          <cell r="A1173">
            <v>5</v>
          </cell>
          <cell r="B1173">
            <v>2001</v>
          </cell>
          <cell r="C1173">
            <v>1</v>
          </cell>
          <cell r="D1173" t="str">
            <v>Production</v>
          </cell>
          <cell r="E1173" t="str">
            <v>Unknown- D&amp;C</v>
          </cell>
          <cell r="F1173" t="str">
            <v>Conventional</v>
          </cell>
          <cell r="G1173">
            <v>0</v>
          </cell>
          <cell r="H1173" t="str">
            <v>Production;Unknown- D&amp;C;Conventional</v>
          </cell>
          <cell r="I1173" t="str">
            <v>Unknown- D&amp;C;Conventional;0;5</v>
          </cell>
          <cell r="J1173" t="str">
            <v>AB</v>
          </cell>
          <cell r="K1173" t="str">
            <v>Medium</v>
          </cell>
          <cell r="L1173">
            <v>46</v>
          </cell>
          <cell r="M1173">
            <v>347</v>
          </cell>
        </row>
        <row r="1174">
          <cell r="A1174">
            <v>5</v>
          </cell>
          <cell r="B1174">
            <v>2001</v>
          </cell>
          <cell r="C1174">
            <v>1</v>
          </cell>
          <cell r="D1174" t="str">
            <v>Production</v>
          </cell>
          <cell r="E1174" t="str">
            <v>Unknown- D&amp;C</v>
          </cell>
          <cell r="F1174" t="str">
            <v>Conventional</v>
          </cell>
          <cell r="G1174">
            <v>0</v>
          </cell>
          <cell r="H1174" t="str">
            <v>Production;Unknown- D&amp;C;Conventional</v>
          </cell>
          <cell r="I1174" t="str">
            <v>Unknown- D&amp;C;Conventional;0;5</v>
          </cell>
          <cell r="J1174" t="str">
            <v>AB</v>
          </cell>
          <cell r="K1174" t="str">
            <v>Shallow</v>
          </cell>
          <cell r="L1174">
            <v>49</v>
          </cell>
          <cell r="M1174">
            <v>167.7564563</v>
          </cell>
        </row>
        <row r="1175">
          <cell r="A1175">
            <v>5</v>
          </cell>
          <cell r="B1175">
            <v>2001</v>
          </cell>
          <cell r="C1175">
            <v>2</v>
          </cell>
          <cell r="D1175" t="str">
            <v>Production</v>
          </cell>
          <cell r="E1175" t="str">
            <v>Unknown- D&amp;C</v>
          </cell>
          <cell r="F1175" t="str">
            <v>Conventional</v>
          </cell>
          <cell r="G1175">
            <v>0</v>
          </cell>
          <cell r="H1175" t="str">
            <v>Production;Unknown- D&amp;C;Conventional</v>
          </cell>
          <cell r="I1175" t="str">
            <v>Unknown- D&amp;C;Conventional;0;5</v>
          </cell>
          <cell r="J1175" t="str">
            <v>AB</v>
          </cell>
          <cell r="K1175" t="str">
            <v>Medium</v>
          </cell>
          <cell r="L1175">
            <v>1</v>
          </cell>
          <cell r="M1175">
            <v>13</v>
          </cell>
        </row>
        <row r="1176">
          <cell r="A1176">
            <v>5</v>
          </cell>
          <cell r="B1176">
            <v>2002</v>
          </cell>
          <cell r="C1176">
            <v>1</v>
          </cell>
          <cell r="D1176" t="str">
            <v>Production</v>
          </cell>
          <cell r="E1176" t="str">
            <v>Unknown- D&amp;C</v>
          </cell>
          <cell r="F1176" t="str">
            <v>Conventional</v>
          </cell>
          <cell r="G1176">
            <v>0</v>
          </cell>
          <cell r="H1176" t="str">
            <v>Production;Unknown- D&amp;C;Conventional</v>
          </cell>
          <cell r="I1176" t="str">
            <v>Unknown- D&amp;C;Conventional;0;5</v>
          </cell>
          <cell r="J1176" t="str">
            <v>AB</v>
          </cell>
          <cell r="K1176" t="str">
            <v>Deep</v>
          </cell>
          <cell r="L1176">
            <v>6</v>
          </cell>
          <cell r="M1176">
            <v>91</v>
          </cell>
        </row>
        <row r="1177">
          <cell r="A1177">
            <v>5</v>
          </cell>
          <cell r="B1177">
            <v>2002</v>
          </cell>
          <cell r="C1177">
            <v>1</v>
          </cell>
          <cell r="D1177" t="str">
            <v>Production</v>
          </cell>
          <cell r="E1177" t="str">
            <v>Unknown- D&amp;C</v>
          </cell>
          <cell r="F1177" t="str">
            <v>Conventional</v>
          </cell>
          <cell r="G1177">
            <v>0</v>
          </cell>
          <cell r="H1177" t="str">
            <v>Production;Unknown- D&amp;C;Conventional</v>
          </cell>
          <cell r="I1177" t="str">
            <v>Unknown- D&amp;C;Conventional;0;5</v>
          </cell>
          <cell r="J1177" t="str">
            <v>AB</v>
          </cell>
          <cell r="K1177" t="str">
            <v>Medium</v>
          </cell>
          <cell r="L1177">
            <v>37</v>
          </cell>
          <cell r="M1177">
            <v>268.66666699999996</v>
          </cell>
        </row>
        <row r="1178">
          <cell r="A1178">
            <v>5</v>
          </cell>
          <cell r="B1178">
            <v>2002</v>
          </cell>
          <cell r="C1178">
            <v>1</v>
          </cell>
          <cell r="D1178" t="str">
            <v>Production</v>
          </cell>
          <cell r="E1178" t="str">
            <v>Unknown- D&amp;C</v>
          </cell>
          <cell r="F1178" t="str">
            <v>Conventional</v>
          </cell>
          <cell r="G1178">
            <v>0</v>
          </cell>
          <cell r="H1178" t="str">
            <v>Production;Unknown- D&amp;C;Conventional</v>
          </cell>
          <cell r="I1178" t="str">
            <v>Unknown- D&amp;C;Conventional;0;5</v>
          </cell>
          <cell r="J1178" t="str">
            <v>AB</v>
          </cell>
          <cell r="K1178" t="str">
            <v>SHALLOW</v>
          </cell>
          <cell r="L1178">
            <v>62</v>
          </cell>
          <cell r="M1178">
            <v>238.46666230000002</v>
          </cell>
        </row>
        <row r="1179">
          <cell r="A1179">
            <v>5</v>
          </cell>
          <cell r="B1179">
            <v>2002</v>
          </cell>
          <cell r="C1179">
            <v>2</v>
          </cell>
          <cell r="D1179" t="str">
            <v>Production</v>
          </cell>
          <cell r="E1179" t="str">
            <v>Unknown- D&amp;C</v>
          </cell>
          <cell r="F1179" t="str">
            <v>Conventional</v>
          </cell>
          <cell r="G1179">
            <v>0</v>
          </cell>
          <cell r="H1179" t="str">
            <v>Production;Unknown- D&amp;C;Conventional</v>
          </cell>
          <cell r="I1179" t="str">
            <v>Unknown- D&amp;C;Conventional;0;5</v>
          </cell>
          <cell r="J1179" t="str">
            <v>AB</v>
          </cell>
          <cell r="K1179" t="str">
            <v>Deep</v>
          </cell>
          <cell r="L1179">
            <v>1</v>
          </cell>
          <cell r="M1179">
            <v>8</v>
          </cell>
        </row>
        <row r="1180">
          <cell r="A1180">
            <v>5</v>
          </cell>
          <cell r="B1180">
            <v>2002</v>
          </cell>
          <cell r="C1180">
            <v>2</v>
          </cell>
          <cell r="D1180" t="str">
            <v>Production</v>
          </cell>
          <cell r="E1180" t="str">
            <v>Unknown- D&amp;C</v>
          </cell>
          <cell r="F1180" t="str">
            <v>Conventional</v>
          </cell>
          <cell r="G1180">
            <v>0</v>
          </cell>
          <cell r="H1180" t="str">
            <v>Production;Unknown- D&amp;C;Conventional</v>
          </cell>
          <cell r="I1180" t="str">
            <v>Unknown- D&amp;C;Conventional;0;5</v>
          </cell>
          <cell r="J1180" t="str">
            <v>AB</v>
          </cell>
          <cell r="K1180" t="str">
            <v>Medium</v>
          </cell>
          <cell r="L1180">
            <v>2</v>
          </cell>
          <cell r="M1180">
            <v>15</v>
          </cell>
        </row>
        <row r="1181">
          <cell r="A1181">
            <v>5</v>
          </cell>
          <cell r="B1181">
            <v>2003</v>
          </cell>
          <cell r="C1181">
            <v>1</v>
          </cell>
          <cell r="D1181" t="str">
            <v>Production</v>
          </cell>
          <cell r="E1181" t="str">
            <v>Unknown- D&amp;C</v>
          </cell>
          <cell r="F1181" t="str">
            <v>Conventional</v>
          </cell>
          <cell r="G1181">
            <v>0</v>
          </cell>
          <cell r="H1181" t="str">
            <v>Production;Unknown- D&amp;C;Conventional</v>
          </cell>
          <cell r="I1181" t="str">
            <v>Unknown- D&amp;C;Conventional;0;5</v>
          </cell>
          <cell r="J1181" t="str">
            <v>AB</v>
          </cell>
          <cell r="K1181" t="str">
            <v>Deep</v>
          </cell>
          <cell r="L1181">
            <v>5</v>
          </cell>
          <cell r="M1181">
            <v>48</v>
          </cell>
        </row>
        <row r="1182">
          <cell r="A1182">
            <v>5</v>
          </cell>
          <cell r="B1182">
            <v>2003</v>
          </cell>
          <cell r="C1182">
            <v>1</v>
          </cell>
          <cell r="D1182" t="str">
            <v>Production</v>
          </cell>
          <cell r="E1182" t="str">
            <v>Unknown- D&amp;C</v>
          </cell>
          <cell r="F1182" t="str">
            <v>Conventional</v>
          </cell>
          <cell r="G1182">
            <v>0</v>
          </cell>
          <cell r="H1182" t="str">
            <v>Production;Unknown- D&amp;C;Conventional</v>
          </cell>
          <cell r="I1182" t="str">
            <v>Unknown- D&amp;C;Conventional;0;5</v>
          </cell>
          <cell r="J1182" t="str">
            <v>AB</v>
          </cell>
          <cell r="K1182" t="str">
            <v>Medium</v>
          </cell>
          <cell r="L1182">
            <v>78</v>
          </cell>
          <cell r="M1182">
            <v>467.5</v>
          </cell>
        </row>
        <row r="1183">
          <cell r="A1183">
            <v>5</v>
          </cell>
          <cell r="B1183">
            <v>2003</v>
          </cell>
          <cell r="C1183">
            <v>1</v>
          </cell>
          <cell r="D1183" t="str">
            <v>Production</v>
          </cell>
          <cell r="E1183" t="str">
            <v>Unknown- D&amp;C</v>
          </cell>
          <cell r="F1183" t="str">
            <v>Conventional</v>
          </cell>
          <cell r="G1183">
            <v>0</v>
          </cell>
          <cell r="H1183" t="str">
            <v>Production;Unknown- D&amp;C;Conventional</v>
          </cell>
          <cell r="I1183" t="str">
            <v>Unknown- D&amp;C;Conventional;0;5</v>
          </cell>
          <cell r="J1183" t="str">
            <v>AB</v>
          </cell>
          <cell r="K1183" t="str">
            <v>SHALLOW</v>
          </cell>
          <cell r="L1183">
            <v>101</v>
          </cell>
          <cell r="M1183">
            <v>526.24940079999999</v>
          </cell>
        </row>
        <row r="1184">
          <cell r="A1184">
            <v>5</v>
          </cell>
          <cell r="B1184">
            <v>2003</v>
          </cell>
          <cell r="C1184">
            <v>2</v>
          </cell>
          <cell r="D1184" t="str">
            <v>Production</v>
          </cell>
          <cell r="E1184" t="str">
            <v>Unknown- D&amp;C</v>
          </cell>
          <cell r="F1184" t="str">
            <v>Conventional</v>
          </cell>
          <cell r="G1184">
            <v>0</v>
          </cell>
          <cell r="H1184" t="str">
            <v>Production;Unknown- D&amp;C;Conventional</v>
          </cell>
          <cell r="I1184" t="str">
            <v>Unknown- D&amp;C;Conventional;0;5</v>
          </cell>
          <cell r="J1184" t="str">
            <v>AB</v>
          </cell>
          <cell r="K1184" t="str">
            <v>MEDIUM</v>
          </cell>
          <cell r="L1184">
            <v>1</v>
          </cell>
          <cell r="M1184">
            <v>5</v>
          </cell>
        </row>
        <row r="1185">
          <cell r="A1185">
            <v>5</v>
          </cell>
          <cell r="B1185">
            <v>2003</v>
          </cell>
          <cell r="C1185">
            <v>2</v>
          </cell>
          <cell r="D1185" t="str">
            <v>Production</v>
          </cell>
          <cell r="E1185" t="str">
            <v>Unknown- D&amp;C</v>
          </cell>
          <cell r="F1185" t="str">
            <v>Conventional</v>
          </cell>
          <cell r="G1185">
            <v>0</v>
          </cell>
          <cell r="H1185" t="str">
            <v>Production;Unknown- D&amp;C;Conventional</v>
          </cell>
          <cell r="I1185" t="str">
            <v>Unknown- D&amp;C;Conventional;0;5</v>
          </cell>
          <cell r="J1185" t="str">
            <v>AB</v>
          </cell>
          <cell r="K1185" t="str">
            <v>Shallow</v>
          </cell>
          <cell r="L1185">
            <v>1</v>
          </cell>
          <cell r="M1185">
            <v>2</v>
          </cell>
        </row>
        <row r="1186">
          <cell r="A1186">
            <v>5</v>
          </cell>
          <cell r="B1186">
            <v>2004</v>
          </cell>
          <cell r="C1186">
            <v>1</v>
          </cell>
          <cell r="D1186" t="str">
            <v>Production</v>
          </cell>
          <cell r="E1186" t="str">
            <v>Unknown- D&amp;C</v>
          </cell>
          <cell r="F1186" t="str">
            <v>Conventional</v>
          </cell>
          <cell r="G1186">
            <v>0</v>
          </cell>
          <cell r="H1186" t="str">
            <v>Production;Unknown- D&amp;C;Conventional</v>
          </cell>
          <cell r="I1186" t="str">
            <v>Unknown- D&amp;C;Conventional;0;5</v>
          </cell>
          <cell r="J1186" t="str">
            <v>AB</v>
          </cell>
          <cell r="K1186" t="str">
            <v>Deep</v>
          </cell>
          <cell r="L1186">
            <v>4</v>
          </cell>
          <cell r="M1186">
            <v>43</v>
          </cell>
        </row>
        <row r="1187">
          <cell r="A1187">
            <v>5</v>
          </cell>
          <cell r="B1187">
            <v>2004</v>
          </cell>
          <cell r="C1187">
            <v>1</v>
          </cell>
          <cell r="D1187" t="str">
            <v>Production</v>
          </cell>
          <cell r="E1187" t="str">
            <v>Unknown- D&amp;C</v>
          </cell>
          <cell r="F1187" t="str">
            <v>Conventional</v>
          </cell>
          <cell r="G1187">
            <v>0</v>
          </cell>
          <cell r="H1187" t="str">
            <v>Production;Unknown- D&amp;C;Conventional</v>
          </cell>
          <cell r="I1187" t="str">
            <v>Unknown- D&amp;C;Conventional;0;5</v>
          </cell>
          <cell r="J1187" t="str">
            <v>AB</v>
          </cell>
          <cell r="K1187" t="str">
            <v>Medium</v>
          </cell>
          <cell r="L1187">
            <v>78</v>
          </cell>
          <cell r="M1187">
            <v>471</v>
          </cell>
        </row>
        <row r="1188">
          <cell r="A1188">
            <v>5</v>
          </cell>
          <cell r="B1188">
            <v>2004</v>
          </cell>
          <cell r="C1188">
            <v>1</v>
          </cell>
          <cell r="D1188" t="str">
            <v>Production</v>
          </cell>
          <cell r="E1188" t="str">
            <v>Unknown- D&amp;C</v>
          </cell>
          <cell r="F1188" t="str">
            <v>Conventional</v>
          </cell>
          <cell r="G1188">
            <v>0</v>
          </cell>
          <cell r="H1188" t="str">
            <v>Production;Unknown- D&amp;C;Conventional</v>
          </cell>
          <cell r="I1188" t="str">
            <v>Unknown- D&amp;C;Conventional;0;5</v>
          </cell>
          <cell r="J1188" t="str">
            <v>AB</v>
          </cell>
          <cell r="K1188" t="str">
            <v>Shallow</v>
          </cell>
          <cell r="L1188">
            <v>134</v>
          </cell>
          <cell r="M1188">
            <v>813.02619240000001</v>
          </cell>
        </row>
        <row r="1189">
          <cell r="A1189">
            <v>5</v>
          </cell>
          <cell r="B1189">
            <v>2004</v>
          </cell>
          <cell r="C1189">
            <v>2</v>
          </cell>
          <cell r="D1189" t="str">
            <v>Production</v>
          </cell>
          <cell r="E1189" t="str">
            <v>Unknown- D&amp;C</v>
          </cell>
          <cell r="F1189" t="str">
            <v>Conventional</v>
          </cell>
          <cell r="G1189">
            <v>0</v>
          </cell>
          <cell r="H1189" t="str">
            <v>Production;Unknown- D&amp;C;Conventional</v>
          </cell>
          <cell r="I1189" t="str">
            <v>Unknown- D&amp;C;Conventional;0;5</v>
          </cell>
          <cell r="J1189" t="str">
            <v>AB</v>
          </cell>
          <cell r="K1189" t="str">
            <v>Deep</v>
          </cell>
          <cell r="L1189">
            <v>1</v>
          </cell>
          <cell r="M1189">
            <v>19</v>
          </cell>
        </row>
        <row r="1190">
          <cell r="A1190">
            <v>5</v>
          </cell>
          <cell r="B1190">
            <v>2004</v>
          </cell>
          <cell r="C1190">
            <v>2</v>
          </cell>
          <cell r="D1190" t="str">
            <v>Production</v>
          </cell>
          <cell r="E1190" t="str">
            <v>Unknown- D&amp;C</v>
          </cell>
          <cell r="F1190" t="str">
            <v>Conventional</v>
          </cell>
          <cell r="G1190">
            <v>0</v>
          </cell>
          <cell r="H1190" t="str">
            <v>Production;Unknown- D&amp;C;Conventional</v>
          </cell>
          <cell r="I1190" t="str">
            <v>Unknown- D&amp;C;Conventional;0;5</v>
          </cell>
          <cell r="J1190" t="str">
            <v>AB</v>
          </cell>
          <cell r="K1190" t="str">
            <v>Medium</v>
          </cell>
          <cell r="L1190">
            <v>2</v>
          </cell>
          <cell r="M1190">
            <v>23</v>
          </cell>
        </row>
        <row r="1191">
          <cell r="A1191">
            <v>5</v>
          </cell>
          <cell r="B1191">
            <v>2004</v>
          </cell>
          <cell r="C1191">
            <v>2</v>
          </cell>
          <cell r="D1191" t="str">
            <v>Production</v>
          </cell>
          <cell r="E1191" t="str">
            <v>Unknown- D&amp;C</v>
          </cell>
          <cell r="F1191" t="str">
            <v>Conventional</v>
          </cell>
          <cell r="G1191">
            <v>0</v>
          </cell>
          <cell r="H1191" t="str">
            <v>Production;Unknown- D&amp;C;Conventional</v>
          </cell>
          <cell r="I1191" t="str">
            <v>Unknown- D&amp;C;Conventional;0;5</v>
          </cell>
          <cell r="J1191" t="str">
            <v>AB</v>
          </cell>
          <cell r="K1191" t="str">
            <v>Shallow</v>
          </cell>
          <cell r="L1191">
            <v>2</v>
          </cell>
          <cell r="M1191">
            <v>7</v>
          </cell>
        </row>
        <row r="1192">
          <cell r="A1192">
            <v>5</v>
          </cell>
          <cell r="B1192">
            <v>2005</v>
          </cell>
          <cell r="C1192">
            <v>1</v>
          </cell>
          <cell r="D1192" t="str">
            <v>Production</v>
          </cell>
          <cell r="E1192" t="str">
            <v>Unknown- D&amp;C</v>
          </cell>
          <cell r="F1192" t="str">
            <v>Conventional</v>
          </cell>
          <cell r="G1192">
            <v>0</v>
          </cell>
          <cell r="H1192" t="str">
            <v>Production;Unknown- D&amp;C;Conventional</v>
          </cell>
          <cell r="I1192" t="str">
            <v>Unknown- D&amp;C;Conventional;0;5</v>
          </cell>
          <cell r="J1192" t="str">
            <v>AB</v>
          </cell>
          <cell r="K1192" t="str">
            <v>Deep</v>
          </cell>
          <cell r="L1192">
            <v>13</v>
          </cell>
          <cell r="M1192">
            <v>72.366666699999996</v>
          </cell>
        </row>
        <row r="1193">
          <cell r="A1193">
            <v>5</v>
          </cell>
          <cell r="B1193">
            <v>2005</v>
          </cell>
          <cell r="C1193">
            <v>1</v>
          </cell>
          <cell r="D1193" t="str">
            <v>Production</v>
          </cell>
          <cell r="E1193" t="str">
            <v>Unknown- D&amp;C</v>
          </cell>
          <cell r="F1193" t="str">
            <v>Conventional</v>
          </cell>
          <cell r="G1193">
            <v>0</v>
          </cell>
          <cell r="H1193" t="str">
            <v>Production;Unknown- D&amp;C;Conventional</v>
          </cell>
          <cell r="I1193" t="str">
            <v>Unknown- D&amp;C;Conventional;0;5</v>
          </cell>
          <cell r="J1193" t="str">
            <v>AB</v>
          </cell>
          <cell r="K1193" t="str">
            <v>Medium</v>
          </cell>
          <cell r="L1193">
            <v>105</v>
          </cell>
          <cell r="M1193">
            <v>973.44335149999972</v>
          </cell>
        </row>
        <row r="1194">
          <cell r="A1194">
            <v>5</v>
          </cell>
          <cell r="B1194">
            <v>2005</v>
          </cell>
          <cell r="C1194">
            <v>1</v>
          </cell>
          <cell r="D1194" t="str">
            <v>Production</v>
          </cell>
          <cell r="E1194" t="str">
            <v>Unknown- D&amp;C</v>
          </cell>
          <cell r="F1194" t="str">
            <v>Conventional</v>
          </cell>
          <cell r="G1194">
            <v>0</v>
          </cell>
          <cell r="H1194" t="str">
            <v>Production;Unknown- D&amp;C;Conventional</v>
          </cell>
          <cell r="I1194" t="str">
            <v>Unknown- D&amp;C;Conventional;0;5</v>
          </cell>
          <cell r="J1194" t="str">
            <v>AB</v>
          </cell>
          <cell r="K1194" t="str">
            <v>Shallow</v>
          </cell>
          <cell r="L1194">
            <v>205</v>
          </cell>
          <cell r="M1194">
            <v>947.09686169999986</v>
          </cell>
        </row>
        <row r="1195">
          <cell r="A1195">
            <v>5</v>
          </cell>
          <cell r="B1195">
            <v>2005</v>
          </cell>
          <cell r="C1195">
            <v>2</v>
          </cell>
          <cell r="D1195" t="str">
            <v>Production</v>
          </cell>
          <cell r="E1195" t="str">
            <v>Unknown- D&amp;C</v>
          </cell>
          <cell r="F1195" t="str">
            <v>Conventional</v>
          </cell>
          <cell r="G1195">
            <v>0</v>
          </cell>
          <cell r="H1195" t="str">
            <v>Production;Unknown- D&amp;C;Conventional</v>
          </cell>
          <cell r="I1195" t="str">
            <v>Unknown- D&amp;C;Conventional;0;5</v>
          </cell>
          <cell r="J1195" t="str">
            <v>AB</v>
          </cell>
          <cell r="K1195" t="str">
            <v>Medium</v>
          </cell>
          <cell r="L1195">
            <v>1</v>
          </cell>
          <cell r="M1195">
            <v>3</v>
          </cell>
        </row>
        <row r="1196">
          <cell r="A1196">
            <v>5</v>
          </cell>
          <cell r="B1196">
            <v>2005</v>
          </cell>
          <cell r="C1196">
            <v>3</v>
          </cell>
          <cell r="D1196" t="str">
            <v>Production</v>
          </cell>
          <cell r="E1196" t="str">
            <v>Unknown- D&amp;C</v>
          </cell>
          <cell r="F1196" t="str">
            <v>Conventional</v>
          </cell>
          <cell r="G1196">
            <v>0</v>
          </cell>
          <cell r="H1196" t="str">
            <v>Production;Unknown- D&amp;C;Conventional</v>
          </cell>
          <cell r="I1196" t="str">
            <v>Unknown- D&amp;C;Conventional;0;5</v>
          </cell>
          <cell r="J1196" t="str">
            <v>AB</v>
          </cell>
          <cell r="K1196" t="str">
            <v>Shallow</v>
          </cell>
          <cell r="L1196">
            <v>1</v>
          </cell>
          <cell r="M1196">
            <v>1</v>
          </cell>
        </row>
        <row r="1197">
          <cell r="A1197">
            <v>5</v>
          </cell>
          <cell r="B1197">
            <v>2006</v>
          </cell>
          <cell r="C1197">
            <v>1</v>
          </cell>
          <cell r="D1197" t="str">
            <v>Production</v>
          </cell>
          <cell r="E1197" t="str">
            <v>Unknown- D&amp;C</v>
          </cell>
          <cell r="F1197" t="str">
            <v>Conventional</v>
          </cell>
          <cell r="G1197">
            <v>0</v>
          </cell>
          <cell r="H1197" t="str">
            <v>Production;Unknown- D&amp;C;Conventional</v>
          </cell>
          <cell r="I1197" t="str">
            <v>Unknown- D&amp;C;Conventional;0;5</v>
          </cell>
          <cell r="J1197" t="str">
            <v>AB</v>
          </cell>
          <cell r="K1197" t="str">
            <v>Deep</v>
          </cell>
          <cell r="L1197">
            <v>19</v>
          </cell>
          <cell r="M1197">
            <v>188</v>
          </cell>
        </row>
        <row r="1198">
          <cell r="A1198">
            <v>5</v>
          </cell>
          <cell r="B1198">
            <v>2006</v>
          </cell>
          <cell r="C1198">
            <v>1</v>
          </cell>
          <cell r="D1198" t="str">
            <v>Production</v>
          </cell>
          <cell r="E1198" t="str">
            <v>Unknown- D&amp;C</v>
          </cell>
          <cell r="F1198" t="str">
            <v>Conventional</v>
          </cell>
          <cell r="G1198">
            <v>0</v>
          </cell>
          <cell r="H1198" t="str">
            <v>Production;Unknown- D&amp;C;Conventional</v>
          </cell>
          <cell r="I1198" t="str">
            <v>Unknown- D&amp;C;Conventional;0;5</v>
          </cell>
          <cell r="J1198" t="str">
            <v>AB</v>
          </cell>
          <cell r="K1198" t="str">
            <v>Medium</v>
          </cell>
          <cell r="L1198">
            <v>149</v>
          </cell>
          <cell r="M1198">
            <v>1108.9333334</v>
          </cell>
        </row>
        <row r="1199">
          <cell r="A1199">
            <v>5</v>
          </cell>
          <cell r="B1199">
            <v>2006</v>
          </cell>
          <cell r="C1199">
            <v>1</v>
          </cell>
          <cell r="D1199" t="str">
            <v>Production</v>
          </cell>
          <cell r="E1199" t="str">
            <v>Unknown- D&amp;C</v>
          </cell>
          <cell r="F1199" t="str">
            <v>Conventional</v>
          </cell>
          <cell r="G1199">
            <v>0</v>
          </cell>
          <cell r="H1199" t="str">
            <v>Production;Unknown- D&amp;C;Conventional</v>
          </cell>
          <cell r="I1199" t="str">
            <v>Unknown- D&amp;C;Conventional;0;5</v>
          </cell>
          <cell r="J1199" t="str">
            <v>AB</v>
          </cell>
          <cell r="K1199" t="str">
            <v>Shallow</v>
          </cell>
          <cell r="L1199">
            <v>314</v>
          </cell>
          <cell r="M1199">
            <v>1413.4088205999999</v>
          </cell>
        </row>
        <row r="1200">
          <cell r="A1200">
            <v>5</v>
          </cell>
          <cell r="B1200">
            <v>2006</v>
          </cell>
          <cell r="C1200">
            <v>2</v>
          </cell>
          <cell r="D1200" t="str">
            <v>Production</v>
          </cell>
          <cell r="E1200" t="str">
            <v>Unknown- D&amp;C</v>
          </cell>
          <cell r="F1200" t="str">
            <v>Conventional</v>
          </cell>
          <cell r="G1200">
            <v>0</v>
          </cell>
          <cell r="H1200" t="str">
            <v>Production;Unknown- D&amp;C;Conventional</v>
          </cell>
          <cell r="I1200" t="str">
            <v>Unknown- D&amp;C;Conventional;0;5</v>
          </cell>
          <cell r="J1200" t="str">
            <v>AB</v>
          </cell>
          <cell r="K1200" t="str">
            <v>Deep</v>
          </cell>
          <cell r="L1200">
            <v>1</v>
          </cell>
          <cell r="M1200">
            <v>2</v>
          </cell>
        </row>
        <row r="1201">
          <cell r="A1201">
            <v>5</v>
          </cell>
          <cell r="B1201">
            <v>2006</v>
          </cell>
          <cell r="C1201">
            <v>2</v>
          </cell>
          <cell r="D1201" t="str">
            <v>Production</v>
          </cell>
          <cell r="E1201" t="str">
            <v>Unknown- D&amp;C</v>
          </cell>
          <cell r="F1201" t="str">
            <v>Conventional</v>
          </cell>
          <cell r="G1201">
            <v>0</v>
          </cell>
          <cell r="H1201" t="str">
            <v>Production;Unknown- D&amp;C;Conventional</v>
          </cell>
          <cell r="I1201" t="str">
            <v>Unknown- D&amp;C;Conventional;0;5</v>
          </cell>
          <cell r="J1201" t="str">
            <v>AB</v>
          </cell>
          <cell r="K1201" t="str">
            <v>Medium</v>
          </cell>
          <cell r="L1201">
            <v>4</v>
          </cell>
          <cell r="M1201">
            <v>21</v>
          </cell>
        </row>
        <row r="1202">
          <cell r="A1202">
            <v>5</v>
          </cell>
          <cell r="B1202">
            <v>2006</v>
          </cell>
          <cell r="C1202">
            <v>2</v>
          </cell>
          <cell r="D1202" t="str">
            <v>Production</v>
          </cell>
          <cell r="E1202" t="str">
            <v>Unknown- D&amp;C</v>
          </cell>
          <cell r="F1202" t="str">
            <v>Conventional</v>
          </cell>
          <cell r="G1202">
            <v>0</v>
          </cell>
          <cell r="H1202" t="str">
            <v>Production;Unknown- D&amp;C;Conventional</v>
          </cell>
          <cell r="I1202" t="str">
            <v>Unknown- D&amp;C;Conventional;0;5</v>
          </cell>
          <cell r="J1202" t="str">
            <v>AB</v>
          </cell>
          <cell r="K1202" t="str">
            <v>Shallow</v>
          </cell>
          <cell r="L1202">
            <v>3</v>
          </cell>
          <cell r="M1202">
            <v>25</v>
          </cell>
        </row>
        <row r="1203">
          <cell r="A1203">
            <v>5</v>
          </cell>
          <cell r="B1203">
            <v>2007</v>
          </cell>
          <cell r="C1203">
            <v>1</v>
          </cell>
          <cell r="D1203" t="str">
            <v>Production</v>
          </cell>
          <cell r="E1203" t="str">
            <v>Unknown- D&amp;C</v>
          </cell>
          <cell r="F1203" t="str">
            <v>Conventional</v>
          </cell>
          <cell r="G1203">
            <v>0</v>
          </cell>
          <cell r="H1203" t="str">
            <v>Production;Unknown- D&amp;C;Conventional</v>
          </cell>
          <cell r="I1203" t="str">
            <v>Unknown- D&amp;C;Conventional;0;5</v>
          </cell>
          <cell r="J1203" t="str">
            <v>AB</v>
          </cell>
          <cell r="K1203" t="str">
            <v>Deep</v>
          </cell>
          <cell r="L1203">
            <v>20</v>
          </cell>
          <cell r="M1203">
            <v>244</v>
          </cell>
        </row>
        <row r="1204">
          <cell r="A1204">
            <v>5</v>
          </cell>
          <cell r="B1204">
            <v>2007</v>
          </cell>
          <cell r="C1204">
            <v>1</v>
          </cell>
          <cell r="D1204" t="str">
            <v>Production</v>
          </cell>
          <cell r="E1204" t="str">
            <v>Unknown- D&amp;C</v>
          </cell>
          <cell r="F1204" t="str">
            <v>Conventional</v>
          </cell>
          <cell r="G1204">
            <v>0</v>
          </cell>
          <cell r="H1204" t="str">
            <v>Production;Unknown- D&amp;C;Conventional</v>
          </cell>
          <cell r="I1204" t="str">
            <v>Unknown- D&amp;C;Conventional;0;5</v>
          </cell>
          <cell r="J1204" t="str">
            <v>AB</v>
          </cell>
          <cell r="K1204" t="str">
            <v>Medium</v>
          </cell>
          <cell r="L1204">
            <v>100</v>
          </cell>
          <cell r="M1204">
            <v>958</v>
          </cell>
        </row>
        <row r="1205">
          <cell r="A1205">
            <v>5</v>
          </cell>
          <cell r="B1205">
            <v>2007</v>
          </cell>
          <cell r="C1205">
            <v>1</v>
          </cell>
          <cell r="D1205" t="str">
            <v>Production</v>
          </cell>
          <cell r="E1205" t="str">
            <v>Unknown- D&amp;C</v>
          </cell>
          <cell r="F1205" t="str">
            <v>Conventional</v>
          </cell>
          <cell r="G1205">
            <v>0</v>
          </cell>
          <cell r="H1205" t="str">
            <v>Production;Unknown- D&amp;C;Conventional</v>
          </cell>
          <cell r="I1205" t="str">
            <v>Unknown- D&amp;C;Conventional;0;5</v>
          </cell>
          <cell r="J1205" t="str">
            <v>AB</v>
          </cell>
          <cell r="K1205" t="str">
            <v>Shallow</v>
          </cell>
          <cell r="L1205">
            <v>125</v>
          </cell>
          <cell r="M1205">
            <v>557</v>
          </cell>
        </row>
        <row r="1206">
          <cell r="A1206">
            <v>5</v>
          </cell>
          <cell r="B1206">
            <v>2007</v>
          </cell>
          <cell r="C1206">
            <v>2</v>
          </cell>
          <cell r="D1206" t="str">
            <v>Production</v>
          </cell>
          <cell r="E1206" t="str">
            <v>Unknown- D&amp;C</v>
          </cell>
          <cell r="F1206" t="str">
            <v>Conventional</v>
          </cell>
          <cell r="G1206">
            <v>0</v>
          </cell>
          <cell r="H1206" t="str">
            <v>Production;Unknown- D&amp;C;Conventional</v>
          </cell>
          <cell r="I1206" t="str">
            <v>Unknown- D&amp;C;Conventional;0;5</v>
          </cell>
          <cell r="J1206" t="str">
            <v>AB</v>
          </cell>
          <cell r="K1206" t="str">
            <v>Medium</v>
          </cell>
          <cell r="L1206">
            <v>1</v>
          </cell>
          <cell r="M1206">
            <v>17</v>
          </cell>
        </row>
        <row r="1207">
          <cell r="A1207">
            <v>6</v>
          </cell>
          <cell r="B1207">
            <v>2000</v>
          </cell>
          <cell r="C1207">
            <v>1</v>
          </cell>
          <cell r="D1207" t="str">
            <v>Production</v>
          </cell>
          <cell r="E1207" t="str">
            <v>Unknown- D&amp;C</v>
          </cell>
          <cell r="F1207" t="str">
            <v>Conventional</v>
          </cell>
          <cell r="G1207">
            <v>0</v>
          </cell>
          <cell r="H1207" t="str">
            <v>Production;Unknown- D&amp;C;Conventional</v>
          </cell>
          <cell r="I1207" t="str">
            <v>Unknown- D&amp;C;Conventional;0;6</v>
          </cell>
          <cell r="J1207" t="str">
            <v>AB</v>
          </cell>
          <cell r="K1207" t="str">
            <v>Deep</v>
          </cell>
          <cell r="L1207">
            <v>1</v>
          </cell>
          <cell r="M1207">
            <v>2</v>
          </cell>
        </row>
        <row r="1208">
          <cell r="A1208">
            <v>6</v>
          </cell>
          <cell r="B1208">
            <v>2000</v>
          </cell>
          <cell r="C1208">
            <v>1</v>
          </cell>
          <cell r="D1208" t="str">
            <v>Production</v>
          </cell>
          <cell r="E1208" t="str">
            <v>Unknown- D&amp;C</v>
          </cell>
          <cell r="F1208" t="str">
            <v>Conventional</v>
          </cell>
          <cell r="G1208">
            <v>0</v>
          </cell>
          <cell r="H1208" t="str">
            <v>Production;Unknown- D&amp;C;Conventional</v>
          </cell>
          <cell r="I1208" t="str">
            <v>Unknown- D&amp;C;Conventional;0;6</v>
          </cell>
          <cell r="J1208" t="str">
            <v>AB</v>
          </cell>
          <cell r="K1208" t="str">
            <v>Medium</v>
          </cell>
          <cell r="L1208">
            <v>11</v>
          </cell>
          <cell r="M1208">
            <v>219.16669999999999</v>
          </cell>
        </row>
        <row r="1209">
          <cell r="A1209">
            <v>6</v>
          </cell>
          <cell r="B1209">
            <v>2000</v>
          </cell>
          <cell r="C1209">
            <v>1</v>
          </cell>
          <cell r="D1209" t="str">
            <v>Production</v>
          </cell>
          <cell r="E1209" t="str">
            <v>Unknown- D&amp;C</v>
          </cell>
          <cell r="F1209" t="str">
            <v>Conventional</v>
          </cell>
          <cell r="G1209">
            <v>0</v>
          </cell>
          <cell r="H1209" t="str">
            <v>Production;Unknown- D&amp;C;Conventional</v>
          </cell>
          <cell r="I1209" t="str">
            <v>Unknown- D&amp;C;Conventional;0;6</v>
          </cell>
          <cell r="J1209" t="str">
            <v>AB</v>
          </cell>
          <cell r="K1209" t="str">
            <v>Shallow</v>
          </cell>
          <cell r="L1209">
            <v>100</v>
          </cell>
          <cell r="M1209">
            <v>312.45832590000003</v>
          </cell>
        </row>
        <row r="1210">
          <cell r="A1210">
            <v>6</v>
          </cell>
          <cell r="B1210">
            <v>2001</v>
          </cell>
          <cell r="C1210">
            <v>1</v>
          </cell>
          <cell r="D1210" t="str">
            <v>Production</v>
          </cell>
          <cell r="E1210" t="str">
            <v>Unknown- D&amp;C</v>
          </cell>
          <cell r="F1210" t="str">
            <v>Conventional</v>
          </cell>
          <cell r="G1210">
            <v>0</v>
          </cell>
          <cell r="H1210" t="str">
            <v>Production;Unknown- D&amp;C;Conventional</v>
          </cell>
          <cell r="I1210" t="str">
            <v>Unknown- D&amp;C;Conventional;0;6</v>
          </cell>
          <cell r="J1210" t="str">
            <v>AB</v>
          </cell>
          <cell r="K1210" t="str">
            <v>Deep</v>
          </cell>
          <cell r="L1210">
            <v>4</v>
          </cell>
          <cell r="M1210">
            <v>43.833337</v>
          </cell>
        </row>
        <row r="1211">
          <cell r="A1211">
            <v>6</v>
          </cell>
          <cell r="B1211">
            <v>2001</v>
          </cell>
          <cell r="C1211">
            <v>1</v>
          </cell>
          <cell r="D1211" t="str">
            <v>Production</v>
          </cell>
          <cell r="E1211" t="str">
            <v>Unknown- D&amp;C</v>
          </cell>
          <cell r="F1211" t="str">
            <v>Conventional</v>
          </cell>
          <cell r="G1211">
            <v>0</v>
          </cell>
          <cell r="H1211" t="str">
            <v>Production;Unknown- D&amp;C;Conventional</v>
          </cell>
          <cell r="I1211" t="str">
            <v>Unknown- D&amp;C;Conventional;0;6</v>
          </cell>
          <cell r="J1211" t="str">
            <v>AB</v>
          </cell>
          <cell r="K1211" t="str">
            <v>Medium</v>
          </cell>
          <cell r="L1211">
            <v>14</v>
          </cell>
          <cell r="M1211">
            <v>51.292856999999998</v>
          </cell>
        </row>
        <row r="1212">
          <cell r="A1212">
            <v>6</v>
          </cell>
          <cell r="B1212">
            <v>2001</v>
          </cell>
          <cell r="C1212">
            <v>1</v>
          </cell>
          <cell r="D1212" t="str">
            <v>Production</v>
          </cell>
          <cell r="E1212" t="str">
            <v>Unknown- D&amp;C</v>
          </cell>
          <cell r="F1212" t="str">
            <v>Conventional</v>
          </cell>
          <cell r="G1212">
            <v>0</v>
          </cell>
          <cell r="H1212" t="str">
            <v>Production;Unknown- D&amp;C;Conventional</v>
          </cell>
          <cell r="I1212" t="str">
            <v>Unknown- D&amp;C;Conventional;0;6</v>
          </cell>
          <cell r="J1212" t="str">
            <v>AB</v>
          </cell>
          <cell r="K1212" t="str">
            <v>Shallow</v>
          </cell>
          <cell r="L1212">
            <v>221</v>
          </cell>
          <cell r="M1212">
            <v>628.44811970000023</v>
          </cell>
        </row>
        <row r="1213">
          <cell r="A1213">
            <v>6</v>
          </cell>
          <cell r="B1213">
            <v>2002</v>
          </cell>
          <cell r="C1213">
            <v>1</v>
          </cell>
          <cell r="D1213" t="str">
            <v>Production</v>
          </cell>
          <cell r="E1213" t="str">
            <v>Unknown- D&amp;C</v>
          </cell>
          <cell r="F1213" t="str">
            <v>Conventional</v>
          </cell>
          <cell r="G1213">
            <v>0</v>
          </cell>
          <cell r="H1213" t="str">
            <v>Production;Unknown- D&amp;C;Conventional</v>
          </cell>
          <cell r="I1213" t="str">
            <v>Unknown- D&amp;C;Conventional;0;6</v>
          </cell>
          <cell r="J1213" t="str">
            <v>AB</v>
          </cell>
          <cell r="K1213" t="str">
            <v>Deep</v>
          </cell>
          <cell r="L1213">
            <v>3</v>
          </cell>
          <cell r="M1213">
            <v>9.75</v>
          </cell>
        </row>
        <row r="1214">
          <cell r="A1214">
            <v>6</v>
          </cell>
          <cell r="B1214">
            <v>2002</v>
          </cell>
          <cell r="C1214">
            <v>1</v>
          </cell>
          <cell r="D1214" t="str">
            <v>Production</v>
          </cell>
          <cell r="E1214" t="str">
            <v>Unknown- D&amp;C</v>
          </cell>
          <cell r="F1214" t="str">
            <v>Conventional</v>
          </cell>
          <cell r="G1214">
            <v>0</v>
          </cell>
          <cell r="H1214" t="str">
            <v>Production;Unknown- D&amp;C;Conventional</v>
          </cell>
          <cell r="I1214" t="str">
            <v>Unknown- D&amp;C;Conventional;0;6</v>
          </cell>
          <cell r="J1214" t="str">
            <v>AB</v>
          </cell>
          <cell r="K1214" t="str">
            <v>Medium</v>
          </cell>
          <cell r="L1214">
            <v>3</v>
          </cell>
          <cell r="M1214">
            <v>30</v>
          </cell>
        </row>
        <row r="1215">
          <cell r="A1215">
            <v>6</v>
          </cell>
          <cell r="B1215">
            <v>2002</v>
          </cell>
          <cell r="C1215">
            <v>1</v>
          </cell>
          <cell r="D1215" t="str">
            <v>Production</v>
          </cell>
          <cell r="E1215" t="str">
            <v>Unknown- D&amp;C</v>
          </cell>
          <cell r="F1215" t="str">
            <v>Conventional</v>
          </cell>
          <cell r="G1215">
            <v>0</v>
          </cell>
          <cell r="H1215" t="str">
            <v>Production;Unknown- D&amp;C;Conventional</v>
          </cell>
          <cell r="I1215" t="str">
            <v>Unknown- D&amp;C;Conventional;0;6</v>
          </cell>
          <cell r="J1215" t="str">
            <v>AB</v>
          </cell>
          <cell r="K1215" t="str">
            <v>Shallow</v>
          </cell>
          <cell r="L1215">
            <v>96</v>
          </cell>
          <cell r="M1215">
            <v>332.44888530000003</v>
          </cell>
        </row>
        <row r="1216">
          <cell r="A1216">
            <v>6</v>
          </cell>
          <cell r="B1216">
            <v>2003</v>
          </cell>
          <cell r="C1216">
            <v>1</v>
          </cell>
          <cell r="D1216" t="str">
            <v>Production</v>
          </cell>
          <cell r="E1216" t="str">
            <v>Unknown- D&amp;C</v>
          </cell>
          <cell r="F1216" t="str">
            <v>Conventional</v>
          </cell>
          <cell r="G1216">
            <v>0</v>
          </cell>
          <cell r="H1216" t="str">
            <v>Production;Unknown- D&amp;C;Conventional</v>
          </cell>
          <cell r="I1216" t="str">
            <v>Unknown- D&amp;C;Conventional;0;6</v>
          </cell>
          <cell r="J1216" t="str">
            <v>AB</v>
          </cell>
          <cell r="K1216" t="str">
            <v>Medium</v>
          </cell>
          <cell r="L1216">
            <v>3</v>
          </cell>
          <cell r="M1216">
            <v>8.6666667000000004</v>
          </cell>
        </row>
        <row r="1217">
          <cell r="A1217">
            <v>6</v>
          </cell>
          <cell r="B1217">
            <v>2003</v>
          </cell>
          <cell r="C1217">
            <v>1</v>
          </cell>
          <cell r="D1217" t="str">
            <v>Production</v>
          </cell>
          <cell r="E1217" t="str">
            <v>Unknown- D&amp;C</v>
          </cell>
          <cell r="F1217" t="str">
            <v>Conventional</v>
          </cell>
          <cell r="G1217">
            <v>0</v>
          </cell>
          <cell r="H1217" t="str">
            <v>Production;Unknown- D&amp;C;Conventional</v>
          </cell>
          <cell r="I1217" t="str">
            <v>Unknown- D&amp;C;Conventional;0;6</v>
          </cell>
          <cell r="J1217" t="str">
            <v>AB</v>
          </cell>
          <cell r="K1217" t="str">
            <v>Shallow</v>
          </cell>
          <cell r="L1217">
            <v>144</v>
          </cell>
          <cell r="M1217">
            <v>408.83333440000001</v>
          </cell>
        </row>
        <row r="1218">
          <cell r="A1218">
            <v>6</v>
          </cell>
          <cell r="B1218">
            <v>2003</v>
          </cell>
          <cell r="C1218">
            <v>2</v>
          </cell>
          <cell r="D1218" t="str">
            <v>Production</v>
          </cell>
          <cell r="E1218" t="str">
            <v>Unknown- D&amp;C</v>
          </cell>
          <cell r="F1218" t="str">
            <v>Conventional</v>
          </cell>
          <cell r="G1218">
            <v>0</v>
          </cell>
          <cell r="H1218" t="str">
            <v>Production;Unknown- D&amp;C;Conventional</v>
          </cell>
          <cell r="I1218" t="str">
            <v>Unknown- D&amp;C;Conventional;0;6</v>
          </cell>
          <cell r="J1218" t="str">
            <v>AB</v>
          </cell>
          <cell r="K1218" t="str">
            <v>Deep</v>
          </cell>
          <cell r="L1218">
            <v>1</v>
          </cell>
          <cell r="M1218">
            <v>28</v>
          </cell>
        </row>
        <row r="1219">
          <cell r="A1219">
            <v>6</v>
          </cell>
          <cell r="B1219">
            <v>2004</v>
          </cell>
          <cell r="C1219">
            <v>1</v>
          </cell>
          <cell r="D1219" t="str">
            <v>Production</v>
          </cell>
          <cell r="E1219" t="str">
            <v>Unknown- D&amp;C</v>
          </cell>
          <cell r="F1219" t="str">
            <v>Conventional</v>
          </cell>
          <cell r="G1219">
            <v>0</v>
          </cell>
          <cell r="H1219" t="str">
            <v>Production;Unknown- D&amp;C;Conventional</v>
          </cell>
          <cell r="I1219" t="str">
            <v>Unknown- D&amp;C;Conventional;0;6</v>
          </cell>
          <cell r="J1219" t="str">
            <v>AB</v>
          </cell>
          <cell r="K1219" t="str">
            <v>Deep</v>
          </cell>
          <cell r="L1219">
            <v>15</v>
          </cell>
          <cell r="M1219">
            <v>140.85500199999998</v>
          </cell>
        </row>
        <row r="1220">
          <cell r="A1220">
            <v>6</v>
          </cell>
          <cell r="B1220">
            <v>2004</v>
          </cell>
          <cell r="C1220">
            <v>1</v>
          </cell>
          <cell r="D1220" t="str">
            <v>Production</v>
          </cell>
          <cell r="E1220" t="str">
            <v>Unknown- D&amp;C</v>
          </cell>
          <cell r="F1220" t="str">
            <v>Conventional</v>
          </cell>
          <cell r="G1220">
            <v>0</v>
          </cell>
          <cell r="H1220" t="str">
            <v>Production;Unknown- D&amp;C;Conventional</v>
          </cell>
          <cell r="I1220" t="str">
            <v>Unknown- D&amp;C;Conventional;0;6</v>
          </cell>
          <cell r="J1220" t="str">
            <v>AB</v>
          </cell>
          <cell r="K1220" t="str">
            <v>Medium</v>
          </cell>
          <cell r="L1220">
            <v>23</v>
          </cell>
          <cell r="M1220">
            <v>271.35931399999998</v>
          </cell>
        </row>
        <row r="1221">
          <cell r="A1221">
            <v>6</v>
          </cell>
          <cell r="B1221">
            <v>2004</v>
          </cell>
          <cell r="C1221">
            <v>1</v>
          </cell>
          <cell r="D1221" t="str">
            <v>Production</v>
          </cell>
          <cell r="E1221" t="str">
            <v>Unknown- D&amp;C</v>
          </cell>
          <cell r="F1221" t="str">
            <v>Conventional</v>
          </cell>
          <cell r="G1221">
            <v>0</v>
          </cell>
          <cell r="H1221" t="str">
            <v>Production;Unknown- D&amp;C;Conventional</v>
          </cell>
          <cell r="I1221" t="str">
            <v>Unknown- D&amp;C;Conventional;0;6</v>
          </cell>
          <cell r="J1221" t="str">
            <v>AB</v>
          </cell>
          <cell r="K1221" t="str">
            <v>Shallow</v>
          </cell>
          <cell r="L1221">
            <v>191</v>
          </cell>
          <cell r="M1221">
            <v>598.6321428</v>
          </cell>
        </row>
        <row r="1222">
          <cell r="A1222">
            <v>6</v>
          </cell>
          <cell r="B1222">
            <v>2004</v>
          </cell>
          <cell r="C1222">
            <v>2</v>
          </cell>
          <cell r="D1222" t="str">
            <v>Production</v>
          </cell>
          <cell r="E1222" t="str">
            <v>Unknown- D&amp;C</v>
          </cell>
          <cell r="F1222" t="str">
            <v>Conventional</v>
          </cell>
          <cell r="G1222">
            <v>0</v>
          </cell>
          <cell r="H1222" t="str">
            <v>Production;Unknown- D&amp;C;Conventional</v>
          </cell>
          <cell r="I1222" t="str">
            <v>Unknown- D&amp;C;Conventional;0;6</v>
          </cell>
          <cell r="J1222" t="str">
            <v>AB</v>
          </cell>
          <cell r="K1222" t="str">
            <v>Deep</v>
          </cell>
          <cell r="L1222">
            <v>1</v>
          </cell>
          <cell r="M1222">
            <v>6</v>
          </cell>
        </row>
        <row r="1223">
          <cell r="A1223">
            <v>6</v>
          </cell>
          <cell r="B1223">
            <v>2005</v>
          </cell>
          <cell r="C1223">
            <v>1</v>
          </cell>
          <cell r="D1223" t="str">
            <v>Production</v>
          </cell>
          <cell r="E1223" t="str">
            <v>Unknown- D&amp;C</v>
          </cell>
          <cell r="F1223" t="str">
            <v>Conventional</v>
          </cell>
          <cell r="G1223">
            <v>0</v>
          </cell>
          <cell r="H1223" t="str">
            <v>Production;Unknown- D&amp;C;Conventional</v>
          </cell>
          <cell r="I1223" t="str">
            <v>Unknown- D&amp;C;Conventional;0;6</v>
          </cell>
          <cell r="J1223" t="str">
            <v>AB</v>
          </cell>
          <cell r="K1223" t="str">
            <v>Deep</v>
          </cell>
          <cell r="L1223">
            <v>4</v>
          </cell>
          <cell r="M1223">
            <v>42.633336999999997</v>
          </cell>
        </row>
        <row r="1224">
          <cell r="A1224">
            <v>6</v>
          </cell>
          <cell r="B1224">
            <v>2005</v>
          </cell>
          <cell r="C1224">
            <v>1</v>
          </cell>
          <cell r="D1224" t="str">
            <v>Production</v>
          </cell>
          <cell r="E1224" t="str">
            <v>Unknown- D&amp;C</v>
          </cell>
          <cell r="F1224" t="str">
            <v>Conventional</v>
          </cell>
          <cell r="G1224">
            <v>0</v>
          </cell>
          <cell r="H1224" t="str">
            <v>Production;Unknown- D&amp;C;Conventional</v>
          </cell>
          <cell r="I1224" t="str">
            <v>Unknown- D&amp;C;Conventional;0;6</v>
          </cell>
          <cell r="J1224" t="str">
            <v>AB</v>
          </cell>
          <cell r="K1224" t="str">
            <v>Medium</v>
          </cell>
          <cell r="L1224">
            <v>119</v>
          </cell>
          <cell r="M1224">
            <v>896.78566300000057</v>
          </cell>
        </row>
        <row r="1225">
          <cell r="A1225">
            <v>6</v>
          </cell>
          <cell r="B1225">
            <v>2005</v>
          </cell>
          <cell r="C1225">
            <v>1</v>
          </cell>
          <cell r="D1225" t="str">
            <v>Production</v>
          </cell>
          <cell r="E1225" t="str">
            <v>Unknown- D&amp;C</v>
          </cell>
          <cell r="F1225" t="str">
            <v>Conventional</v>
          </cell>
          <cell r="G1225">
            <v>0</v>
          </cell>
          <cell r="H1225" t="str">
            <v>Production;Unknown- D&amp;C;Conventional</v>
          </cell>
          <cell r="I1225" t="str">
            <v>Unknown- D&amp;C;Conventional;0;6</v>
          </cell>
          <cell r="J1225" t="str">
            <v>AB</v>
          </cell>
          <cell r="K1225" t="str">
            <v>Shallow</v>
          </cell>
          <cell r="L1225">
            <v>186</v>
          </cell>
          <cell r="M1225">
            <v>549.80717790000006</v>
          </cell>
        </row>
        <row r="1226">
          <cell r="A1226">
            <v>6</v>
          </cell>
          <cell r="B1226">
            <v>2006</v>
          </cell>
          <cell r="C1226">
            <v>1</v>
          </cell>
          <cell r="D1226" t="str">
            <v>Production</v>
          </cell>
          <cell r="E1226" t="str">
            <v>Unknown- D&amp;C</v>
          </cell>
          <cell r="F1226" t="str">
            <v>Conventional</v>
          </cell>
          <cell r="G1226">
            <v>0</v>
          </cell>
          <cell r="H1226" t="str">
            <v>Production;Unknown- D&amp;C;Conventional</v>
          </cell>
          <cell r="I1226" t="str">
            <v>Unknown- D&amp;C;Conventional;0;6</v>
          </cell>
          <cell r="J1226" t="str">
            <v>AB</v>
          </cell>
          <cell r="K1226" t="str">
            <v>Deep</v>
          </cell>
          <cell r="L1226">
            <v>52</v>
          </cell>
          <cell r="M1226">
            <v>495.49068899999997</v>
          </cell>
        </row>
        <row r="1227">
          <cell r="A1227">
            <v>6</v>
          </cell>
          <cell r="B1227">
            <v>2006</v>
          </cell>
          <cell r="C1227">
            <v>1</v>
          </cell>
          <cell r="D1227" t="str">
            <v>Production</v>
          </cell>
          <cell r="E1227" t="str">
            <v>Unknown- D&amp;C</v>
          </cell>
          <cell r="F1227" t="str">
            <v>Conventional</v>
          </cell>
          <cell r="G1227">
            <v>0</v>
          </cell>
          <cell r="H1227" t="str">
            <v>Production;Unknown- D&amp;C;Conventional</v>
          </cell>
          <cell r="I1227" t="str">
            <v>Unknown- D&amp;C;Conventional;0;6</v>
          </cell>
          <cell r="J1227" t="str">
            <v>AB</v>
          </cell>
          <cell r="K1227" t="str">
            <v>Medium</v>
          </cell>
          <cell r="L1227">
            <v>30</v>
          </cell>
          <cell r="M1227">
            <v>226.55931140000001</v>
          </cell>
        </row>
        <row r="1228">
          <cell r="A1228">
            <v>6</v>
          </cell>
          <cell r="B1228">
            <v>2006</v>
          </cell>
          <cell r="C1228">
            <v>1</v>
          </cell>
          <cell r="D1228" t="str">
            <v>Production</v>
          </cell>
          <cell r="E1228" t="str">
            <v>Unknown- D&amp;C</v>
          </cell>
          <cell r="F1228" t="str">
            <v>Conventional</v>
          </cell>
          <cell r="G1228">
            <v>0</v>
          </cell>
          <cell r="H1228" t="str">
            <v>Production;Unknown- D&amp;C;Conventional</v>
          </cell>
          <cell r="I1228" t="str">
            <v>Unknown- D&amp;C;Conventional;0;6</v>
          </cell>
          <cell r="J1228" t="str">
            <v>AB</v>
          </cell>
          <cell r="K1228" t="str">
            <v>Shallow</v>
          </cell>
          <cell r="L1228">
            <v>255</v>
          </cell>
          <cell r="M1228">
            <v>797.90040590000012</v>
          </cell>
        </row>
        <row r="1229">
          <cell r="A1229">
            <v>6</v>
          </cell>
          <cell r="B1229">
            <v>2006</v>
          </cell>
          <cell r="C1229">
            <v>2</v>
          </cell>
          <cell r="D1229" t="str">
            <v>Production</v>
          </cell>
          <cell r="E1229" t="str">
            <v>Unknown- D&amp;C</v>
          </cell>
          <cell r="F1229" t="str">
            <v>Conventional</v>
          </cell>
          <cell r="G1229">
            <v>0</v>
          </cell>
          <cell r="H1229" t="str">
            <v>Production;Unknown- D&amp;C;Conventional</v>
          </cell>
          <cell r="I1229" t="str">
            <v>Unknown- D&amp;C;Conventional;0;6</v>
          </cell>
          <cell r="J1229" t="str">
            <v>AB</v>
          </cell>
          <cell r="K1229" t="str">
            <v>Shallow</v>
          </cell>
          <cell r="L1229">
            <v>1</v>
          </cell>
          <cell r="M1229">
            <v>2</v>
          </cell>
        </row>
        <row r="1230">
          <cell r="A1230">
            <v>6</v>
          </cell>
          <cell r="B1230">
            <v>2007</v>
          </cell>
          <cell r="C1230">
            <v>1</v>
          </cell>
          <cell r="D1230" t="str">
            <v>Production</v>
          </cell>
          <cell r="E1230" t="str">
            <v>Unknown- D&amp;C</v>
          </cell>
          <cell r="F1230" t="str">
            <v>Conventional</v>
          </cell>
          <cell r="G1230">
            <v>0</v>
          </cell>
          <cell r="H1230" t="str">
            <v>Production;Unknown- D&amp;C;Conventional</v>
          </cell>
          <cell r="I1230" t="str">
            <v>Unknown- D&amp;C;Conventional;0;6</v>
          </cell>
          <cell r="J1230" t="str">
            <v>AB</v>
          </cell>
          <cell r="K1230" t="str">
            <v>Deep</v>
          </cell>
          <cell r="L1230">
            <v>12</v>
          </cell>
          <cell r="M1230">
            <v>257.999999</v>
          </cell>
        </row>
        <row r="1231">
          <cell r="A1231">
            <v>6</v>
          </cell>
          <cell r="B1231">
            <v>2007</v>
          </cell>
          <cell r="C1231">
            <v>1</v>
          </cell>
          <cell r="D1231" t="str">
            <v>Production</v>
          </cell>
          <cell r="E1231" t="str">
            <v>Unknown- D&amp;C</v>
          </cell>
          <cell r="F1231" t="str">
            <v>Conventional</v>
          </cell>
          <cell r="G1231">
            <v>0</v>
          </cell>
          <cell r="H1231" t="str">
            <v>Production;Unknown- D&amp;C;Conventional</v>
          </cell>
          <cell r="I1231" t="str">
            <v>Unknown- D&amp;C;Conventional;0;6</v>
          </cell>
          <cell r="J1231" t="str">
            <v>AB</v>
          </cell>
          <cell r="K1231" t="str">
            <v>Medium</v>
          </cell>
          <cell r="L1231">
            <v>16</v>
          </cell>
          <cell r="M1231">
            <v>58.796825000000005</v>
          </cell>
        </row>
        <row r="1232">
          <cell r="A1232">
            <v>6</v>
          </cell>
          <cell r="B1232">
            <v>2007</v>
          </cell>
          <cell r="C1232">
            <v>1</v>
          </cell>
          <cell r="D1232" t="str">
            <v>Production</v>
          </cell>
          <cell r="E1232" t="str">
            <v>Unknown- D&amp;C</v>
          </cell>
          <cell r="F1232" t="str">
            <v>Conventional</v>
          </cell>
          <cell r="G1232">
            <v>0</v>
          </cell>
          <cell r="H1232" t="str">
            <v>Production;Unknown- D&amp;C;Conventional</v>
          </cell>
          <cell r="I1232" t="str">
            <v>Unknown- D&amp;C;Conventional;0;6</v>
          </cell>
          <cell r="J1232" t="str">
            <v>AB</v>
          </cell>
          <cell r="K1232" t="str">
            <v>Shallow</v>
          </cell>
          <cell r="L1232">
            <v>208</v>
          </cell>
          <cell r="M1232">
            <v>1770.8833</v>
          </cell>
        </row>
        <row r="1233">
          <cell r="A1233">
            <v>7</v>
          </cell>
          <cell r="B1233">
            <v>2000</v>
          </cell>
          <cell r="C1233">
            <v>1</v>
          </cell>
          <cell r="D1233" t="str">
            <v>Production</v>
          </cell>
          <cell r="E1233" t="str">
            <v>Unknown- D&amp;C</v>
          </cell>
          <cell r="F1233" t="str">
            <v>Conventional</v>
          </cell>
          <cell r="G1233">
            <v>0</v>
          </cell>
          <cell r="H1233" t="str">
            <v>Production;Unknown- D&amp;C;Conventional</v>
          </cell>
          <cell r="I1233" t="str">
            <v>Unknown- D&amp;C;Conventional;0;7</v>
          </cell>
          <cell r="J1233" t="str">
            <v>AB</v>
          </cell>
          <cell r="K1233" t="str">
            <v>Deep</v>
          </cell>
          <cell r="L1233">
            <v>8</v>
          </cell>
          <cell r="M1233">
            <v>152</v>
          </cell>
        </row>
        <row r="1234">
          <cell r="A1234">
            <v>7</v>
          </cell>
          <cell r="B1234">
            <v>2000</v>
          </cell>
          <cell r="C1234">
            <v>1</v>
          </cell>
          <cell r="D1234" t="str">
            <v>Production</v>
          </cell>
          <cell r="E1234" t="str">
            <v>Unknown- D&amp;C</v>
          </cell>
          <cell r="F1234" t="str">
            <v>Conventional</v>
          </cell>
          <cell r="G1234">
            <v>0</v>
          </cell>
          <cell r="H1234" t="str">
            <v>Production;Unknown- D&amp;C;Conventional</v>
          </cell>
          <cell r="I1234" t="str">
            <v>Unknown- D&amp;C;Conventional;0;7</v>
          </cell>
          <cell r="J1234" t="str">
            <v>AB</v>
          </cell>
          <cell r="K1234" t="str">
            <v>Medium</v>
          </cell>
          <cell r="L1234">
            <v>45</v>
          </cell>
          <cell r="M1234">
            <v>383.41666700000002</v>
          </cell>
        </row>
        <row r="1235">
          <cell r="A1235">
            <v>7</v>
          </cell>
          <cell r="B1235">
            <v>2000</v>
          </cell>
          <cell r="C1235">
            <v>1</v>
          </cell>
          <cell r="D1235" t="str">
            <v>Production</v>
          </cell>
          <cell r="E1235" t="str">
            <v>Unknown- D&amp;C</v>
          </cell>
          <cell r="F1235" t="str">
            <v>Conventional</v>
          </cell>
          <cell r="G1235">
            <v>0</v>
          </cell>
          <cell r="H1235" t="str">
            <v>Production;Unknown- D&amp;C;Conventional</v>
          </cell>
          <cell r="I1235" t="str">
            <v>Unknown- D&amp;C;Conventional;0;7</v>
          </cell>
          <cell r="J1235" t="str">
            <v>AB</v>
          </cell>
          <cell r="K1235" t="str">
            <v>Shallow</v>
          </cell>
          <cell r="L1235">
            <v>85</v>
          </cell>
          <cell r="M1235">
            <v>314.32222210000003</v>
          </cell>
        </row>
        <row r="1236">
          <cell r="A1236">
            <v>7</v>
          </cell>
          <cell r="B1236">
            <v>2000</v>
          </cell>
          <cell r="C1236">
            <v>2</v>
          </cell>
          <cell r="D1236" t="str">
            <v>Production</v>
          </cell>
          <cell r="E1236" t="str">
            <v>Unknown- D&amp;C</v>
          </cell>
          <cell r="F1236" t="str">
            <v>Conventional</v>
          </cell>
          <cell r="G1236">
            <v>0</v>
          </cell>
          <cell r="H1236" t="str">
            <v>Production;Unknown- D&amp;C;Conventional</v>
          </cell>
          <cell r="I1236" t="str">
            <v>Unknown- D&amp;C;Conventional;0;7</v>
          </cell>
          <cell r="J1236" t="str">
            <v>AB</v>
          </cell>
          <cell r="K1236" t="str">
            <v>Medium</v>
          </cell>
          <cell r="L1236">
            <v>1</v>
          </cell>
          <cell r="M1236">
            <v>11</v>
          </cell>
        </row>
        <row r="1237">
          <cell r="A1237">
            <v>7</v>
          </cell>
          <cell r="B1237">
            <v>2001</v>
          </cell>
          <cell r="C1237">
            <v>1</v>
          </cell>
          <cell r="D1237" t="str">
            <v>Production</v>
          </cell>
          <cell r="E1237" t="str">
            <v>Unknown- D&amp;C</v>
          </cell>
          <cell r="F1237" t="str">
            <v>Conventional</v>
          </cell>
          <cell r="G1237">
            <v>0</v>
          </cell>
          <cell r="H1237" t="str">
            <v>Production;Unknown- D&amp;C;Conventional</v>
          </cell>
          <cell r="I1237" t="str">
            <v>Unknown- D&amp;C;Conventional;0;7</v>
          </cell>
          <cell r="J1237" t="str">
            <v>AB</v>
          </cell>
          <cell r="K1237" t="str">
            <v>Deep</v>
          </cell>
          <cell r="L1237">
            <v>4</v>
          </cell>
          <cell r="M1237">
            <v>52</v>
          </cell>
        </row>
        <row r="1238">
          <cell r="A1238">
            <v>7</v>
          </cell>
          <cell r="B1238">
            <v>2001</v>
          </cell>
          <cell r="C1238">
            <v>1</v>
          </cell>
          <cell r="D1238" t="str">
            <v>Production</v>
          </cell>
          <cell r="E1238" t="str">
            <v>Unknown- D&amp;C</v>
          </cell>
          <cell r="F1238" t="str">
            <v>Conventional</v>
          </cell>
          <cell r="G1238">
            <v>0</v>
          </cell>
          <cell r="H1238" t="str">
            <v>Production;Unknown- D&amp;C;Conventional</v>
          </cell>
          <cell r="I1238" t="str">
            <v>Unknown- D&amp;C;Conventional;0;7</v>
          </cell>
          <cell r="J1238" t="str">
            <v>AB</v>
          </cell>
          <cell r="K1238" t="str">
            <v>Medium</v>
          </cell>
          <cell r="L1238">
            <v>60</v>
          </cell>
          <cell r="M1238">
            <v>485.64762000000002</v>
          </cell>
        </row>
        <row r="1239">
          <cell r="A1239">
            <v>7</v>
          </cell>
          <cell r="B1239">
            <v>2001</v>
          </cell>
          <cell r="C1239">
            <v>1</v>
          </cell>
          <cell r="D1239" t="str">
            <v>Production</v>
          </cell>
          <cell r="E1239" t="str">
            <v>Unknown- D&amp;C</v>
          </cell>
          <cell r="F1239" t="str">
            <v>Conventional</v>
          </cell>
          <cell r="G1239">
            <v>0</v>
          </cell>
          <cell r="H1239" t="str">
            <v>Production;Unknown- D&amp;C;Conventional</v>
          </cell>
          <cell r="I1239" t="str">
            <v>Unknown- D&amp;C;Conventional;0;7</v>
          </cell>
          <cell r="J1239" t="str">
            <v>AB</v>
          </cell>
          <cell r="K1239" t="str">
            <v>Shallow</v>
          </cell>
          <cell r="L1239">
            <v>135</v>
          </cell>
          <cell r="M1239">
            <v>497.51763650000004</v>
          </cell>
        </row>
        <row r="1240">
          <cell r="A1240">
            <v>7</v>
          </cell>
          <cell r="B1240">
            <v>2001</v>
          </cell>
          <cell r="C1240">
            <v>2</v>
          </cell>
          <cell r="D1240" t="str">
            <v>Production</v>
          </cell>
          <cell r="E1240" t="str">
            <v>Unknown- D&amp;C</v>
          </cell>
          <cell r="F1240" t="str">
            <v>Conventional</v>
          </cell>
          <cell r="G1240">
            <v>0</v>
          </cell>
          <cell r="H1240" t="str">
            <v>Production;Unknown- D&amp;C;Conventional</v>
          </cell>
          <cell r="I1240" t="str">
            <v>Unknown- D&amp;C;Conventional;0;7</v>
          </cell>
          <cell r="J1240" t="str">
            <v>AB</v>
          </cell>
          <cell r="K1240" t="str">
            <v>Shallow</v>
          </cell>
          <cell r="L1240">
            <v>1</v>
          </cell>
          <cell r="M1240">
            <v>11</v>
          </cell>
        </row>
        <row r="1241">
          <cell r="A1241">
            <v>7</v>
          </cell>
          <cell r="B1241">
            <v>2002</v>
          </cell>
          <cell r="C1241">
            <v>1</v>
          </cell>
          <cell r="D1241" t="str">
            <v>Production</v>
          </cell>
          <cell r="E1241" t="str">
            <v>Unknown- D&amp;C</v>
          </cell>
          <cell r="F1241" t="str">
            <v>Conventional</v>
          </cell>
          <cell r="G1241">
            <v>0</v>
          </cell>
          <cell r="H1241" t="str">
            <v>Production;Unknown- D&amp;C;Conventional</v>
          </cell>
          <cell r="I1241" t="str">
            <v>Unknown- D&amp;C;Conventional;0;7</v>
          </cell>
          <cell r="J1241" t="str">
            <v>AB</v>
          </cell>
          <cell r="K1241" t="str">
            <v>Deep</v>
          </cell>
          <cell r="L1241">
            <v>7</v>
          </cell>
          <cell r="M1241">
            <v>118</v>
          </cell>
        </row>
        <row r="1242">
          <cell r="A1242">
            <v>7</v>
          </cell>
          <cell r="B1242">
            <v>2002</v>
          </cell>
          <cell r="C1242">
            <v>1</v>
          </cell>
          <cell r="D1242" t="str">
            <v>Production</v>
          </cell>
          <cell r="E1242" t="str">
            <v>Unknown- D&amp;C</v>
          </cell>
          <cell r="F1242" t="str">
            <v>Conventional</v>
          </cell>
          <cell r="G1242">
            <v>0</v>
          </cell>
          <cell r="H1242" t="str">
            <v>Production;Unknown- D&amp;C;Conventional</v>
          </cell>
          <cell r="I1242" t="str">
            <v>Unknown- D&amp;C;Conventional;0;7</v>
          </cell>
          <cell r="J1242" t="str">
            <v>AB</v>
          </cell>
          <cell r="K1242" t="str">
            <v>Medium</v>
          </cell>
          <cell r="L1242">
            <v>47</v>
          </cell>
          <cell r="M1242">
            <v>505.233341</v>
          </cell>
        </row>
        <row r="1243">
          <cell r="A1243">
            <v>7</v>
          </cell>
          <cell r="B1243">
            <v>2002</v>
          </cell>
          <cell r="C1243">
            <v>1</v>
          </cell>
          <cell r="D1243" t="str">
            <v>Production</v>
          </cell>
          <cell r="E1243" t="str">
            <v>Unknown- D&amp;C</v>
          </cell>
          <cell r="F1243" t="str">
            <v>Conventional</v>
          </cell>
          <cell r="G1243">
            <v>0</v>
          </cell>
          <cell r="H1243" t="str">
            <v>Production;Unknown- D&amp;C;Conventional</v>
          </cell>
          <cell r="I1243" t="str">
            <v>Unknown- D&amp;C;Conventional;0;7</v>
          </cell>
          <cell r="J1243" t="str">
            <v>AB</v>
          </cell>
          <cell r="K1243" t="str">
            <v>Shallow</v>
          </cell>
          <cell r="L1243">
            <v>116</v>
          </cell>
          <cell r="M1243">
            <v>423.06202199999996</v>
          </cell>
        </row>
        <row r="1244">
          <cell r="A1244">
            <v>7</v>
          </cell>
          <cell r="B1244">
            <v>2002</v>
          </cell>
          <cell r="C1244">
            <v>2</v>
          </cell>
          <cell r="D1244" t="str">
            <v>Production</v>
          </cell>
          <cell r="E1244" t="str">
            <v>Unknown- D&amp;C</v>
          </cell>
          <cell r="F1244" t="str">
            <v>Conventional</v>
          </cell>
          <cell r="G1244">
            <v>0</v>
          </cell>
          <cell r="H1244" t="str">
            <v>Production;Unknown- D&amp;C;Conventional</v>
          </cell>
          <cell r="I1244" t="str">
            <v>Unknown- D&amp;C;Conventional;0;7</v>
          </cell>
          <cell r="J1244" t="str">
            <v>AB</v>
          </cell>
          <cell r="K1244" t="str">
            <v>Medium</v>
          </cell>
          <cell r="L1244">
            <v>1</v>
          </cell>
          <cell r="M1244">
            <v>14</v>
          </cell>
        </row>
        <row r="1245">
          <cell r="A1245">
            <v>7</v>
          </cell>
          <cell r="B1245">
            <v>2002</v>
          </cell>
          <cell r="C1245">
            <v>2</v>
          </cell>
          <cell r="D1245" t="str">
            <v>Production</v>
          </cell>
          <cell r="E1245" t="str">
            <v>Unknown- D&amp;C</v>
          </cell>
          <cell r="F1245" t="str">
            <v>Conventional</v>
          </cell>
          <cell r="G1245">
            <v>0</v>
          </cell>
          <cell r="H1245" t="str">
            <v>Production;Unknown- D&amp;C;Conventional</v>
          </cell>
          <cell r="I1245" t="str">
            <v>Unknown- D&amp;C;Conventional;0;7</v>
          </cell>
          <cell r="J1245" t="str">
            <v>AB</v>
          </cell>
          <cell r="K1245" t="str">
            <v>Shallow</v>
          </cell>
          <cell r="L1245">
            <v>1</v>
          </cell>
          <cell r="M1245">
            <v>17</v>
          </cell>
        </row>
        <row r="1246">
          <cell r="A1246">
            <v>7</v>
          </cell>
          <cell r="B1246">
            <v>2003</v>
          </cell>
          <cell r="C1246">
            <v>1</v>
          </cell>
          <cell r="D1246" t="str">
            <v>Production</v>
          </cell>
          <cell r="E1246" t="str">
            <v>Unknown- D&amp;C</v>
          </cell>
          <cell r="F1246" t="str">
            <v>Conventional</v>
          </cell>
          <cell r="G1246">
            <v>0</v>
          </cell>
          <cell r="H1246" t="str">
            <v>Production;Unknown- D&amp;C;Conventional</v>
          </cell>
          <cell r="I1246" t="str">
            <v>Unknown- D&amp;C;Conventional;0;7</v>
          </cell>
          <cell r="J1246" t="str">
            <v>AB</v>
          </cell>
          <cell r="K1246" t="str">
            <v>Deep</v>
          </cell>
          <cell r="L1246">
            <v>6</v>
          </cell>
          <cell r="M1246">
            <v>144</v>
          </cell>
        </row>
        <row r="1247">
          <cell r="A1247">
            <v>7</v>
          </cell>
          <cell r="B1247">
            <v>2003</v>
          </cell>
          <cell r="C1247">
            <v>1</v>
          </cell>
          <cell r="D1247" t="str">
            <v>Production</v>
          </cell>
          <cell r="E1247" t="str">
            <v>Unknown- D&amp;C</v>
          </cell>
          <cell r="F1247" t="str">
            <v>Conventional</v>
          </cell>
          <cell r="G1247">
            <v>0</v>
          </cell>
          <cell r="H1247" t="str">
            <v>Production;Unknown- D&amp;C;Conventional</v>
          </cell>
          <cell r="I1247" t="str">
            <v>Unknown- D&amp;C;Conventional;0;7</v>
          </cell>
          <cell r="J1247" t="str">
            <v>AB</v>
          </cell>
          <cell r="K1247" t="str">
            <v>MEDIUM</v>
          </cell>
          <cell r="L1247">
            <v>58</v>
          </cell>
          <cell r="M1247">
            <v>606.5626843</v>
          </cell>
        </row>
        <row r="1248">
          <cell r="A1248">
            <v>7</v>
          </cell>
          <cell r="B1248">
            <v>2003</v>
          </cell>
          <cell r="C1248">
            <v>1</v>
          </cell>
          <cell r="D1248" t="str">
            <v>Production</v>
          </cell>
          <cell r="E1248" t="str">
            <v>Unknown- D&amp;C</v>
          </cell>
          <cell r="F1248" t="str">
            <v>Conventional</v>
          </cell>
          <cell r="G1248">
            <v>0</v>
          </cell>
          <cell r="H1248" t="str">
            <v>Production;Unknown- D&amp;C;Conventional</v>
          </cell>
          <cell r="I1248" t="str">
            <v>Unknown- D&amp;C;Conventional;0;7</v>
          </cell>
          <cell r="J1248" t="str">
            <v>AB</v>
          </cell>
          <cell r="K1248" t="str">
            <v>Shallow</v>
          </cell>
          <cell r="L1248">
            <v>120</v>
          </cell>
          <cell r="M1248">
            <v>483.17543029999996</v>
          </cell>
        </row>
        <row r="1249">
          <cell r="A1249">
            <v>7</v>
          </cell>
          <cell r="B1249">
            <v>2003</v>
          </cell>
          <cell r="C1249">
            <v>2</v>
          </cell>
          <cell r="D1249" t="str">
            <v>Production</v>
          </cell>
          <cell r="E1249" t="str">
            <v>Unknown- D&amp;C</v>
          </cell>
          <cell r="F1249" t="str">
            <v>Conventional</v>
          </cell>
          <cell r="G1249">
            <v>0</v>
          </cell>
          <cell r="H1249" t="str">
            <v>Production;Unknown- D&amp;C;Conventional</v>
          </cell>
          <cell r="I1249" t="str">
            <v>Unknown- D&amp;C;Conventional;0;7</v>
          </cell>
          <cell r="J1249" t="str">
            <v>AB</v>
          </cell>
          <cell r="K1249" t="str">
            <v>Medium</v>
          </cell>
          <cell r="L1249">
            <v>1</v>
          </cell>
          <cell r="M1249">
            <v>21</v>
          </cell>
        </row>
        <row r="1250">
          <cell r="A1250">
            <v>7</v>
          </cell>
          <cell r="B1250">
            <v>2004</v>
          </cell>
          <cell r="C1250">
            <v>1</v>
          </cell>
          <cell r="D1250" t="str">
            <v>Production</v>
          </cell>
          <cell r="E1250" t="str">
            <v>Unknown- D&amp;C</v>
          </cell>
          <cell r="F1250" t="str">
            <v>Conventional</v>
          </cell>
          <cell r="G1250">
            <v>0</v>
          </cell>
          <cell r="H1250" t="str">
            <v>Production;Unknown- D&amp;C;Conventional</v>
          </cell>
          <cell r="I1250" t="str">
            <v>Unknown- D&amp;C;Conventional;0;7</v>
          </cell>
          <cell r="J1250" t="str">
            <v>AB</v>
          </cell>
          <cell r="K1250" t="str">
            <v>Deep</v>
          </cell>
          <cell r="L1250">
            <v>2</v>
          </cell>
          <cell r="M1250">
            <v>37</v>
          </cell>
        </row>
        <row r="1251">
          <cell r="A1251">
            <v>7</v>
          </cell>
          <cell r="B1251">
            <v>2004</v>
          </cell>
          <cell r="C1251">
            <v>1</v>
          </cell>
          <cell r="D1251" t="str">
            <v>Production</v>
          </cell>
          <cell r="E1251" t="str">
            <v>Unknown- D&amp;C</v>
          </cell>
          <cell r="F1251" t="str">
            <v>Conventional</v>
          </cell>
          <cell r="G1251">
            <v>0</v>
          </cell>
          <cell r="H1251" t="str">
            <v>Production;Unknown- D&amp;C;Conventional</v>
          </cell>
          <cell r="I1251" t="str">
            <v>Unknown- D&amp;C;Conventional;0;7</v>
          </cell>
          <cell r="J1251" t="str">
            <v>AB</v>
          </cell>
          <cell r="K1251" t="str">
            <v>Medium</v>
          </cell>
          <cell r="L1251">
            <v>105</v>
          </cell>
          <cell r="M1251">
            <v>1056.5693799999999</v>
          </cell>
        </row>
        <row r="1252">
          <cell r="A1252">
            <v>7</v>
          </cell>
          <cell r="B1252">
            <v>2004</v>
          </cell>
          <cell r="C1252">
            <v>1</v>
          </cell>
          <cell r="D1252" t="str">
            <v>Production</v>
          </cell>
          <cell r="E1252" t="str">
            <v>Unknown- D&amp;C</v>
          </cell>
          <cell r="F1252" t="str">
            <v>Conventional</v>
          </cell>
          <cell r="G1252">
            <v>0</v>
          </cell>
          <cell r="H1252" t="str">
            <v>Production;Unknown- D&amp;C;Conventional</v>
          </cell>
          <cell r="I1252" t="str">
            <v>Unknown- D&amp;C;Conventional;0;7</v>
          </cell>
          <cell r="J1252" t="str">
            <v>AB</v>
          </cell>
          <cell r="K1252" t="str">
            <v>SHALLOW</v>
          </cell>
          <cell r="L1252">
            <v>127</v>
          </cell>
          <cell r="M1252">
            <v>490.86077540000002</v>
          </cell>
        </row>
        <row r="1253">
          <cell r="A1253">
            <v>7</v>
          </cell>
          <cell r="B1253">
            <v>2004</v>
          </cell>
          <cell r="C1253">
            <v>2</v>
          </cell>
          <cell r="D1253" t="str">
            <v>Production</v>
          </cell>
          <cell r="E1253" t="str">
            <v>Unknown- D&amp;C</v>
          </cell>
          <cell r="F1253" t="str">
            <v>Conventional</v>
          </cell>
          <cell r="G1253">
            <v>0</v>
          </cell>
          <cell r="H1253" t="str">
            <v>Production;Unknown- D&amp;C;Conventional</v>
          </cell>
          <cell r="I1253" t="str">
            <v>Unknown- D&amp;C;Conventional;0;7</v>
          </cell>
          <cell r="J1253" t="str">
            <v>AB</v>
          </cell>
          <cell r="K1253" t="str">
            <v>Medium</v>
          </cell>
          <cell r="L1253">
            <v>1</v>
          </cell>
          <cell r="M1253">
            <v>11</v>
          </cell>
        </row>
        <row r="1254">
          <cell r="A1254">
            <v>7</v>
          </cell>
          <cell r="B1254">
            <v>2004</v>
          </cell>
          <cell r="C1254">
            <v>2</v>
          </cell>
          <cell r="D1254" t="str">
            <v>Production</v>
          </cell>
          <cell r="E1254" t="str">
            <v>Unknown- D&amp;C</v>
          </cell>
          <cell r="F1254" t="str">
            <v>Conventional</v>
          </cell>
          <cell r="G1254">
            <v>0</v>
          </cell>
          <cell r="H1254" t="str">
            <v>Production;Unknown- D&amp;C;Conventional</v>
          </cell>
          <cell r="I1254" t="str">
            <v>Unknown- D&amp;C;Conventional;0;7</v>
          </cell>
          <cell r="J1254" t="str">
            <v>AB</v>
          </cell>
          <cell r="K1254" t="str">
            <v>Shallow</v>
          </cell>
          <cell r="L1254">
            <v>1</v>
          </cell>
          <cell r="M1254">
            <v>7</v>
          </cell>
        </row>
        <row r="1255">
          <cell r="A1255">
            <v>7</v>
          </cell>
          <cell r="B1255">
            <v>2005</v>
          </cell>
          <cell r="C1255">
            <v>1</v>
          </cell>
          <cell r="D1255" t="str">
            <v>Production</v>
          </cell>
          <cell r="E1255" t="str">
            <v>Unknown- D&amp;C</v>
          </cell>
          <cell r="F1255" t="str">
            <v>Conventional</v>
          </cell>
          <cell r="G1255">
            <v>0</v>
          </cell>
          <cell r="H1255" t="str">
            <v>Production;Unknown- D&amp;C;Conventional</v>
          </cell>
          <cell r="I1255" t="str">
            <v>Unknown- D&amp;C;Conventional;0;7</v>
          </cell>
          <cell r="J1255" t="str">
            <v>AB</v>
          </cell>
          <cell r="K1255" t="str">
            <v>Deep</v>
          </cell>
          <cell r="L1255">
            <v>7</v>
          </cell>
          <cell r="M1255">
            <v>124</v>
          </cell>
        </row>
        <row r="1256">
          <cell r="A1256">
            <v>7</v>
          </cell>
          <cell r="B1256">
            <v>2005</v>
          </cell>
          <cell r="C1256">
            <v>1</v>
          </cell>
          <cell r="D1256" t="str">
            <v>Production</v>
          </cell>
          <cell r="E1256" t="str">
            <v>Unknown- D&amp;C</v>
          </cell>
          <cell r="F1256" t="str">
            <v>Conventional</v>
          </cell>
          <cell r="G1256">
            <v>0</v>
          </cell>
          <cell r="H1256" t="str">
            <v>Production;Unknown- D&amp;C;Conventional</v>
          </cell>
          <cell r="I1256" t="str">
            <v>Unknown- D&amp;C;Conventional;0;7</v>
          </cell>
          <cell r="J1256" t="str">
            <v>AB</v>
          </cell>
          <cell r="K1256" t="str">
            <v>Medium</v>
          </cell>
          <cell r="L1256">
            <v>89</v>
          </cell>
          <cell r="M1256">
            <v>947.66666299999997</v>
          </cell>
        </row>
        <row r="1257">
          <cell r="A1257">
            <v>7</v>
          </cell>
          <cell r="B1257">
            <v>2005</v>
          </cell>
          <cell r="C1257">
            <v>1</v>
          </cell>
          <cell r="D1257" t="str">
            <v>Production</v>
          </cell>
          <cell r="E1257" t="str">
            <v>Unknown- D&amp;C</v>
          </cell>
          <cell r="F1257" t="str">
            <v>Conventional</v>
          </cell>
          <cell r="G1257">
            <v>0</v>
          </cell>
          <cell r="H1257" t="str">
            <v>Production;Unknown- D&amp;C;Conventional</v>
          </cell>
          <cell r="I1257" t="str">
            <v>Unknown- D&amp;C;Conventional;0;7</v>
          </cell>
          <cell r="J1257" t="str">
            <v>AB</v>
          </cell>
          <cell r="K1257" t="str">
            <v>Shallow</v>
          </cell>
          <cell r="L1257">
            <v>143</v>
          </cell>
          <cell r="M1257">
            <v>554.44996969999988</v>
          </cell>
        </row>
        <row r="1258">
          <cell r="A1258">
            <v>7</v>
          </cell>
          <cell r="B1258">
            <v>2005</v>
          </cell>
          <cell r="C1258">
            <v>2</v>
          </cell>
          <cell r="D1258" t="str">
            <v>Production</v>
          </cell>
          <cell r="E1258" t="str">
            <v>Unknown- D&amp;C</v>
          </cell>
          <cell r="F1258" t="str">
            <v>Conventional</v>
          </cell>
          <cell r="G1258">
            <v>0</v>
          </cell>
          <cell r="H1258" t="str">
            <v>Production;Unknown- D&amp;C;Conventional</v>
          </cell>
          <cell r="I1258" t="str">
            <v>Unknown- D&amp;C;Conventional;0;7</v>
          </cell>
          <cell r="J1258" t="str">
            <v>AB</v>
          </cell>
          <cell r="K1258" t="str">
            <v>Medium</v>
          </cell>
          <cell r="L1258">
            <v>2</v>
          </cell>
          <cell r="M1258">
            <v>14</v>
          </cell>
        </row>
        <row r="1259">
          <cell r="A1259">
            <v>7</v>
          </cell>
          <cell r="B1259">
            <v>2006</v>
          </cell>
          <cell r="C1259">
            <v>1</v>
          </cell>
          <cell r="D1259" t="str">
            <v>Production</v>
          </cell>
          <cell r="E1259" t="str">
            <v>Unknown- D&amp;C</v>
          </cell>
          <cell r="F1259" t="str">
            <v>Conventional</v>
          </cell>
          <cell r="G1259">
            <v>0</v>
          </cell>
          <cell r="H1259" t="str">
            <v>Production;Unknown- D&amp;C;Conventional</v>
          </cell>
          <cell r="I1259" t="str">
            <v>Unknown- D&amp;C;Conventional;0;7</v>
          </cell>
          <cell r="J1259" t="str">
            <v>AB</v>
          </cell>
          <cell r="K1259" t="str">
            <v>Deep</v>
          </cell>
          <cell r="L1259">
            <v>38</v>
          </cell>
          <cell r="M1259">
            <v>586</v>
          </cell>
        </row>
        <row r="1260">
          <cell r="A1260">
            <v>7</v>
          </cell>
          <cell r="B1260">
            <v>2006</v>
          </cell>
          <cell r="C1260">
            <v>1</v>
          </cell>
          <cell r="D1260" t="str">
            <v>Production</v>
          </cell>
          <cell r="E1260" t="str">
            <v>Unknown- D&amp;C</v>
          </cell>
          <cell r="F1260" t="str">
            <v>Conventional</v>
          </cell>
          <cell r="G1260">
            <v>0</v>
          </cell>
          <cell r="H1260" t="str">
            <v>Production;Unknown- D&amp;C;Conventional</v>
          </cell>
          <cell r="I1260" t="str">
            <v>Unknown- D&amp;C;Conventional;0;7</v>
          </cell>
          <cell r="J1260" t="str">
            <v>AB</v>
          </cell>
          <cell r="K1260" t="str">
            <v>Medium</v>
          </cell>
          <cell r="L1260">
            <v>176</v>
          </cell>
          <cell r="M1260">
            <v>1734.9666769999999</v>
          </cell>
        </row>
        <row r="1261">
          <cell r="A1261">
            <v>7</v>
          </cell>
          <cell r="B1261">
            <v>2006</v>
          </cell>
          <cell r="C1261">
            <v>1</v>
          </cell>
          <cell r="D1261" t="str">
            <v>Production</v>
          </cell>
          <cell r="E1261" t="str">
            <v>Unknown- D&amp;C</v>
          </cell>
          <cell r="F1261" t="str">
            <v>Conventional</v>
          </cell>
          <cell r="G1261">
            <v>0</v>
          </cell>
          <cell r="H1261" t="str">
            <v>Production;Unknown- D&amp;C;Conventional</v>
          </cell>
          <cell r="I1261" t="str">
            <v>Unknown- D&amp;C;Conventional;0;7</v>
          </cell>
          <cell r="J1261" t="str">
            <v>AB</v>
          </cell>
          <cell r="K1261" t="str">
            <v>Shallow</v>
          </cell>
          <cell r="L1261">
            <v>274</v>
          </cell>
          <cell r="M1261">
            <v>1032.3202394</v>
          </cell>
        </row>
        <row r="1262">
          <cell r="A1262">
            <v>7</v>
          </cell>
          <cell r="B1262">
            <v>2006</v>
          </cell>
          <cell r="C1262">
            <v>2</v>
          </cell>
          <cell r="D1262" t="str">
            <v>Production</v>
          </cell>
          <cell r="E1262" t="str">
            <v>Unknown- D&amp;C</v>
          </cell>
          <cell r="F1262" t="str">
            <v>Conventional</v>
          </cell>
          <cell r="G1262">
            <v>0</v>
          </cell>
          <cell r="H1262" t="str">
            <v>Production;Unknown- D&amp;C;Conventional</v>
          </cell>
          <cell r="I1262" t="str">
            <v>Unknown- D&amp;C;Conventional;0;7</v>
          </cell>
          <cell r="J1262" t="str">
            <v>AB</v>
          </cell>
          <cell r="K1262" t="str">
            <v>Deep</v>
          </cell>
          <cell r="L1262">
            <v>1</v>
          </cell>
          <cell r="M1262">
            <v>12</v>
          </cell>
        </row>
        <row r="1263">
          <cell r="A1263">
            <v>7</v>
          </cell>
          <cell r="B1263">
            <v>2006</v>
          </cell>
          <cell r="C1263">
            <v>2</v>
          </cell>
          <cell r="D1263" t="str">
            <v>Production</v>
          </cell>
          <cell r="E1263" t="str">
            <v>Unknown- D&amp;C</v>
          </cell>
          <cell r="F1263" t="str">
            <v>Conventional</v>
          </cell>
          <cell r="G1263">
            <v>0</v>
          </cell>
          <cell r="H1263" t="str">
            <v>Production;Unknown- D&amp;C;Conventional</v>
          </cell>
          <cell r="I1263" t="str">
            <v>Unknown- D&amp;C;Conventional;0;7</v>
          </cell>
          <cell r="J1263" t="str">
            <v>AB</v>
          </cell>
          <cell r="K1263" t="str">
            <v>Medium</v>
          </cell>
          <cell r="L1263">
            <v>3</v>
          </cell>
          <cell r="M1263">
            <v>32</v>
          </cell>
        </row>
        <row r="1264">
          <cell r="A1264">
            <v>7</v>
          </cell>
          <cell r="B1264">
            <v>2006</v>
          </cell>
          <cell r="C1264">
            <v>2</v>
          </cell>
          <cell r="D1264" t="str">
            <v>Production</v>
          </cell>
          <cell r="E1264" t="str">
            <v>Unknown- D&amp;C</v>
          </cell>
          <cell r="F1264" t="str">
            <v>Conventional</v>
          </cell>
          <cell r="G1264">
            <v>0</v>
          </cell>
          <cell r="H1264" t="str">
            <v>Production;Unknown- D&amp;C;Conventional</v>
          </cell>
          <cell r="I1264" t="str">
            <v>Unknown- D&amp;C;Conventional;0;7</v>
          </cell>
          <cell r="J1264" t="str">
            <v>AB</v>
          </cell>
          <cell r="K1264" t="str">
            <v>Shallow</v>
          </cell>
          <cell r="L1264">
            <v>1</v>
          </cell>
          <cell r="M1264">
            <v>1</v>
          </cell>
        </row>
        <row r="1265">
          <cell r="A1265">
            <v>7</v>
          </cell>
          <cell r="B1265">
            <v>2006</v>
          </cell>
          <cell r="C1265">
            <v>3</v>
          </cell>
          <cell r="D1265" t="str">
            <v>Production</v>
          </cell>
          <cell r="E1265" t="str">
            <v>Unknown- D&amp;C</v>
          </cell>
          <cell r="F1265" t="str">
            <v>Conventional</v>
          </cell>
          <cell r="G1265">
            <v>0</v>
          </cell>
          <cell r="H1265" t="str">
            <v>Production;Unknown- D&amp;C;Conventional</v>
          </cell>
          <cell r="I1265" t="str">
            <v>Unknown- D&amp;C;Conventional;0;7</v>
          </cell>
          <cell r="J1265" t="str">
            <v>AB</v>
          </cell>
          <cell r="K1265" t="str">
            <v>Medium</v>
          </cell>
          <cell r="L1265">
            <v>1</v>
          </cell>
          <cell r="M1265">
            <v>31</v>
          </cell>
        </row>
        <row r="1266">
          <cell r="A1266">
            <v>7</v>
          </cell>
          <cell r="B1266">
            <v>2007</v>
          </cell>
          <cell r="C1266">
            <v>1</v>
          </cell>
          <cell r="D1266" t="str">
            <v>Production</v>
          </cell>
          <cell r="E1266" t="str">
            <v>Unknown- D&amp;C</v>
          </cell>
          <cell r="F1266" t="str">
            <v>Conventional</v>
          </cell>
          <cell r="G1266">
            <v>0</v>
          </cell>
          <cell r="H1266" t="str">
            <v>Production;Unknown- D&amp;C;Conventional</v>
          </cell>
          <cell r="I1266" t="str">
            <v>Unknown- D&amp;C;Conventional;0;7</v>
          </cell>
          <cell r="J1266" t="str">
            <v>AB</v>
          </cell>
          <cell r="K1266" t="str">
            <v>Deep</v>
          </cell>
          <cell r="L1266">
            <v>17</v>
          </cell>
          <cell r="M1266">
            <v>225</v>
          </cell>
        </row>
        <row r="1267">
          <cell r="A1267">
            <v>7</v>
          </cell>
          <cell r="B1267">
            <v>2007</v>
          </cell>
          <cell r="C1267">
            <v>1</v>
          </cell>
          <cell r="D1267" t="str">
            <v>Production</v>
          </cell>
          <cell r="E1267" t="str">
            <v>Unknown- D&amp;C</v>
          </cell>
          <cell r="F1267" t="str">
            <v>Conventional</v>
          </cell>
          <cell r="G1267">
            <v>0</v>
          </cell>
          <cell r="H1267" t="str">
            <v>Production;Unknown- D&amp;C;Conventional</v>
          </cell>
          <cell r="I1267" t="str">
            <v>Unknown- D&amp;C;Conventional;0;7</v>
          </cell>
          <cell r="J1267" t="str">
            <v>AB</v>
          </cell>
          <cell r="K1267" t="str">
            <v>Medium</v>
          </cell>
          <cell r="L1267">
            <v>127</v>
          </cell>
          <cell r="M1267">
            <v>1524.1667</v>
          </cell>
        </row>
        <row r="1268">
          <cell r="A1268">
            <v>7</v>
          </cell>
          <cell r="B1268">
            <v>2007</v>
          </cell>
          <cell r="C1268">
            <v>1</v>
          </cell>
          <cell r="D1268" t="str">
            <v>Production</v>
          </cell>
          <cell r="E1268" t="str">
            <v>Unknown- D&amp;C</v>
          </cell>
          <cell r="F1268" t="str">
            <v>Conventional</v>
          </cell>
          <cell r="G1268">
            <v>0</v>
          </cell>
          <cell r="H1268" t="str">
            <v>Production;Unknown- D&amp;C;Conventional</v>
          </cell>
          <cell r="I1268" t="str">
            <v>Unknown- D&amp;C;Conventional;0;7</v>
          </cell>
          <cell r="J1268" t="str">
            <v>AB</v>
          </cell>
          <cell r="K1268" t="str">
            <v>Shallow</v>
          </cell>
          <cell r="L1268">
            <v>131</v>
          </cell>
          <cell r="M1268">
            <v>767.19380000000001</v>
          </cell>
        </row>
        <row r="1269">
          <cell r="A1269">
            <v>7</v>
          </cell>
          <cell r="B1269">
            <v>2007</v>
          </cell>
          <cell r="C1269">
            <v>2</v>
          </cell>
          <cell r="D1269" t="str">
            <v>Production</v>
          </cell>
          <cell r="E1269" t="str">
            <v>Unknown- D&amp;C</v>
          </cell>
          <cell r="F1269" t="str">
            <v>Conventional</v>
          </cell>
          <cell r="G1269">
            <v>0</v>
          </cell>
          <cell r="H1269" t="str">
            <v>Production;Unknown- D&amp;C;Conventional</v>
          </cell>
          <cell r="I1269" t="str">
            <v>Unknown- D&amp;C;Conventional;0;7</v>
          </cell>
          <cell r="J1269" t="str">
            <v>AB</v>
          </cell>
          <cell r="K1269" t="str">
            <v>Medium</v>
          </cell>
          <cell r="L1269">
            <v>3</v>
          </cell>
          <cell r="M1269">
            <v>11</v>
          </cell>
        </row>
        <row r="1270">
          <cell r="A1270">
            <v>7</v>
          </cell>
          <cell r="B1270">
            <v>2007</v>
          </cell>
          <cell r="C1270">
            <v>2</v>
          </cell>
          <cell r="D1270" t="str">
            <v>Production</v>
          </cell>
          <cell r="E1270" t="str">
            <v>Unknown- D&amp;C</v>
          </cell>
          <cell r="F1270" t="str">
            <v>Conventional</v>
          </cell>
          <cell r="G1270">
            <v>0</v>
          </cell>
          <cell r="H1270" t="str">
            <v>Production;Unknown- D&amp;C;Conventional</v>
          </cell>
          <cell r="I1270" t="str">
            <v>Unknown- D&amp;C;Conventional;0;7</v>
          </cell>
          <cell r="J1270" t="str">
            <v>AB</v>
          </cell>
          <cell r="K1270" t="str">
            <v>Shallow</v>
          </cell>
          <cell r="L1270">
            <v>1</v>
          </cell>
          <cell r="M1270">
            <v>2</v>
          </cell>
        </row>
        <row r="1271">
          <cell r="A1271">
            <v>8</v>
          </cell>
          <cell r="B1271">
            <v>2000</v>
          </cell>
          <cell r="C1271">
            <v>1</v>
          </cell>
          <cell r="D1271" t="str">
            <v>Production</v>
          </cell>
          <cell r="E1271" t="str">
            <v>Unknown- D&amp;C</v>
          </cell>
          <cell r="F1271" t="str">
            <v>Conventional</v>
          </cell>
          <cell r="G1271">
            <v>0</v>
          </cell>
          <cell r="H1271" t="str">
            <v>Production;Unknown- D&amp;C;Conventional</v>
          </cell>
          <cell r="I1271" t="str">
            <v>Unknown- D&amp;C;Conventional;0;8</v>
          </cell>
          <cell r="J1271" t="str">
            <v>BC</v>
          </cell>
          <cell r="K1271" t="str">
            <v>Deep</v>
          </cell>
          <cell r="L1271">
            <v>2</v>
          </cell>
          <cell r="M1271">
            <v>60</v>
          </cell>
        </row>
        <row r="1272">
          <cell r="A1272">
            <v>8</v>
          </cell>
          <cell r="B1272">
            <v>2000</v>
          </cell>
          <cell r="C1272">
            <v>1</v>
          </cell>
          <cell r="D1272" t="str">
            <v>Production</v>
          </cell>
          <cell r="E1272" t="str">
            <v>Unknown- D&amp;C</v>
          </cell>
          <cell r="F1272" t="str">
            <v>Conventional</v>
          </cell>
          <cell r="G1272">
            <v>0</v>
          </cell>
          <cell r="H1272" t="str">
            <v>Production;Unknown- D&amp;C;Conventional</v>
          </cell>
          <cell r="I1272" t="str">
            <v>Unknown- D&amp;C;Conventional;0;8</v>
          </cell>
          <cell r="J1272" t="str">
            <v>BC</v>
          </cell>
          <cell r="K1272" t="str">
            <v>Medium</v>
          </cell>
          <cell r="L1272">
            <v>24</v>
          </cell>
          <cell r="M1272">
            <v>370.83333299999998</v>
          </cell>
        </row>
        <row r="1273">
          <cell r="A1273">
            <v>8</v>
          </cell>
          <cell r="B1273">
            <v>2000</v>
          </cell>
          <cell r="C1273">
            <v>1</v>
          </cell>
          <cell r="D1273" t="str">
            <v>Production</v>
          </cell>
          <cell r="E1273" t="str">
            <v>Unknown- D&amp;C</v>
          </cell>
          <cell r="F1273" t="str">
            <v>Conventional</v>
          </cell>
          <cell r="G1273">
            <v>0</v>
          </cell>
          <cell r="H1273" t="str">
            <v>Production;Unknown- D&amp;C;Conventional</v>
          </cell>
          <cell r="I1273" t="str">
            <v>Unknown- D&amp;C;Conventional;0;8</v>
          </cell>
          <cell r="J1273" t="str">
            <v>BC</v>
          </cell>
          <cell r="K1273" t="str">
            <v>Shallow</v>
          </cell>
          <cell r="L1273">
            <v>11</v>
          </cell>
          <cell r="M1273">
            <v>108.28571100000001</v>
          </cell>
        </row>
        <row r="1274">
          <cell r="A1274">
            <v>8</v>
          </cell>
          <cell r="B1274">
            <v>2001</v>
          </cell>
          <cell r="C1274">
            <v>1</v>
          </cell>
          <cell r="D1274" t="str">
            <v>Production</v>
          </cell>
          <cell r="E1274" t="str">
            <v>Unknown- D&amp;C</v>
          </cell>
          <cell r="F1274" t="str">
            <v>Conventional</v>
          </cell>
          <cell r="G1274">
            <v>0</v>
          </cell>
          <cell r="H1274" t="str">
            <v>Production;Unknown- D&amp;C;Conventional</v>
          </cell>
          <cell r="I1274" t="str">
            <v>Unknown- D&amp;C;Conventional;0;8</v>
          </cell>
          <cell r="J1274" t="str">
            <v>BC</v>
          </cell>
          <cell r="K1274" t="str">
            <v>DEEP</v>
          </cell>
          <cell r="L1274">
            <v>8</v>
          </cell>
          <cell r="M1274">
            <v>430</v>
          </cell>
        </row>
        <row r="1275">
          <cell r="A1275">
            <v>8</v>
          </cell>
          <cell r="B1275">
            <v>2001</v>
          </cell>
          <cell r="C1275">
            <v>1</v>
          </cell>
          <cell r="D1275" t="str">
            <v>Production</v>
          </cell>
          <cell r="E1275" t="str">
            <v>Unknown- D&amp;C</v>
          </cell>
          <cell r="F1275" t="str">
            <v>Conventional</v>
          </cell>
          <cell r="G1275">
            <v>0</v>
          </cell>
          <cell r="H1275" t="str">
            <v>Production;Unknown- D&amp;C;Conventional</v>
          </cell>
          <cell r="I1275" t="str">
            <v>Unknown- D&amp;C;Conventional;0;8</v>
          </cell>
          <cell r="J1275" t="str">
            <v>BC</v>
          </cell>
          <cell r="K1275" t="str">
            <v>Medium</v>
          </cell>
          <cell r="L1275">
            <v>7</v>
          </cell>
          <cell r="M1275">
            <v>183.08332999999999</v>
          </cell>
        </row>
        <row r="1276">
          <cell r="A1276">
            <v>8</v>
          </cell>
          <cell r="B1276">
            <v>2001</v>
          </cell>
          <cell r="C1276">
            <v>1</v>
          </cell>
          <cell r="D1276" t="str">
            <v>Production</v>
          </cell>
          <cell r="E1276" t="str">
            <v>Unknown- D&amp;C</v>
          </cell>
          <cell r="F1276" t="str">
            <v>Conventional</v>
          </cell>
          <cell r="G1276">
            <v>0</v>
          </cell>
          <cell r="H1276" t="str">
            <v>Production;Unknown- D&amp;C;Conventional</v>
          </cell>
          <cell r="I1276" t="str">
            <v>Unknown- D&amp;C;Conventional;0;8</v>
          </cell>
          <cell r="J1276" t="str">
            <v>BC</v>
          </cell>
          <cell r="K1276" t="str">
            <v>SHALLOW</v>
          </cell>
          <cell r="L1276">
            <v>10</v>
          </cell>
          <cell r="M1276">
            <v>50.166667000000004</v>
          </cell>
        </row>
        <row r="1277">
          <cell r="A1277">
            <v>8</v>
          </cell>
          <cell r="B1277">
            <v>2001</v>
          </cell>
          <cell r="C1277">
            <v>2</v>
          </cell>
          <cell r="D1277" t="str">
            <v>Production</v>
          </cell>
          <cell r="E1277" t="str">
            <v>Unknown- D&amp;C</v>
          </cell>
          <cell r="F1277" t="str">
            <v>Conventional</v>
          </cell>
          <cell r="G1277">
            <v>0</v>
          </cell>
          <cell r="H1277" t="str">
            <v>Production;Unknown- D&amp;C;Conventional</v>
          </cell>
          <cell r="I1277" t="str">
            <v>Unknown- D&amp;C;Conventional;0;8</v>
          </cell>
          <cell r="J1277" t="str">
            <v>BC</v>
          </cell>
          <cell r="K1277" t="str">
            <v>Medium</v>
          </cell>
          <cell r="L1277">
            <v>1</v>
          </cell>
          <cell r="M1277">
            <v>11</v>
          </cell>
        </row>
        <row r="1278">
          <cell r="A1278">
            <v>8</v>
          </cell>
          <cell r="B1278">
            <v>2002</v>
          </cell>
          <cell r="C1278">
            <v>1</v>
          </cell>
          <cell r="D1278" t="str">
            <v>Production</v>
          </cell>
          <cell r="E1278" t="str">
            <v>Unknown- D&amp;C</v>
          </cell>
          <cell r="F1278" t="str">
            <v>Conventional</v>
          </cell>
          <cell r="G1278">
            <v>0</v>
          </cell>
          <cell r="H1278" t="str">
            <v>Production;Unknown- D&amp;C;Conventional</v>
          </cell>
          <cell r="I1278" t="str">
            <v>Unknown- D&amp;C;Conventional;0;8</v>
          </cell>
          <cell r="J1278" t="str">
            <v>BC</v>
          </cell>
          <cell r="K1278" t="str">
            <v>Deep</v>
          </cell>
          <cell r="L1278">
            <v>11</v>
          </cell>
          <cell r="M1278">
            <v>420.66667000000001</v>
          </cell>
        </row>
        <row r="1279">
          <cell r="A1279">
            <v>8</v>
          </cell>
          <cell r="B1279">
            <v>2002</v>
          </cell>
          <cell r="C1279">
            <v>1</v>
          </cell>
          <cell r="D1279" t="str">
            <v>Production</v>
          </cell>
          <cell r="E1279" t="str">
            <v>Unknown- D&amp;C</v>
          </cell>
          <cell r="F1279" t="str">
            <v>Conventional</v>
          </cell>
          <cell r="G1279">
            <v>0</v>
          </cell>
          <cell r="H1279" t="str">
            <v>Production;Unknown- D&amp;C;Conventional</v>
          </cell>
          <cell r="I1279" t="str">
            <v>Unknown- D&amp;C;Conventional;0;8</v>
          </cell>
          <cell r="J1279" t="str">
            <v>BC</v>
          </cell>
          <cell r="K1279" t="str">
            <v>Medium</v>
          </cell>
          <cell r="L1279">
            <v>9</v>
          </cell>
          <cell r="M1279">
            <v>194.5</v>
          </cell>
        </row>
        <row r="1280">
          <cell r="A1280">
            <v>8</v>
          </cell>
          <cell r="B1280">
            <v>2002</v>
          </cell>
          <cell r="C1280">
            <v>1</v>
          </cell>
          <cell r="D1280" t="str">
            <v>Production</v>
          </cell>
          <cell r="E1280" t="str">
            <v>Unknown- D&amp;C</v>
          </cell>
          <cell r="F1280" t="str">
            <v>Conventional</v>
          </cell>
          <cell r="G1280">
            <v>0</v>
          </cell>
          <cell r="H1280" t="str">
            <v>Production;Unknown- D&amp;C;Conventional</v>
          </cell>
          <cell r="I1280" t="str">
            <v>Unknown- D&amp;C;Conventional;0;8</v>
          </cell>
          <cell r="J1280" t="str">
            <v>BC</v>
          </cell>
          <cell r="K1280" t="str">
            <v>Shallow</v>
          </cell>
          <cell r="L1280">
            <v>6</v>
          </cell>
          <cell r="M1280">
            <v>23</v>
          </cell>
        </row>
        <row r="1281">
          <cell r="A1281">
            <v>8</v>
          </cell>
          <cell r="B1281">
            <v>2002</v>
          </cell>
          <cell r="C1281">
            <v>2</v>
          </cell>
          <cell r="D1281" t="str">
            <v>Production</v>
          </cell>
          <cell r="E1281" t="str">
            <v>Unknown- D&amp;C</v>
          </cell>
          <cell r="F1281" t="str">
            <v>Conventional</v>
          </cell>
          <cell r="G1281">
            <v>0</v>
          </cell>
          <cell r="H1281" t="str">
            <v>Production;Unknown- D&amp;C;Conventional</v>
          </cell>
          <cell r="I1281" t="str">
            <v>Unknown- D&amp;C;Conventional;0;8</v>
          </cell>
          <cell r="J1281" t="str">
            <v>BC</v>
          </cell>
          <cell r="K1281" t="str">
            <v>Medium</v>
          </cell>
          <cell r="L1281">
            <v>1</v>
          </cell>
          <cell r="M1281">
            <v>14</v>
          </cell>
        </row>
        <row r="1282">
          <cell r="A1282">
            <v>8</v>
          </cell>
          <cell r="B1282">
            <v>2003</v>
          </cell>
          <cell r="C1282">
            <v>1</v>
          </cell>
          <cell r="D1282" t="str">
            <v>Production</v>
          </cell>
          <cell r="E1282" t="str">
            <v>Unknown- D&amp;C</v>
          </cell>
          <cell r="F1282" t="str">
            <v>Conventional</v>
          </cell>
          <cell r="G1282">
            <v>0</v>
          </cell>
          <cell r="H1282" t="str">
            <v>Production;Unknown- D&amp;C;Conventional</v>
          </cell>
          <cell r="I1282" t="str">
            <v>Unknown- D&amp;C;Conventional;0;8</v>
          </cell>
          <cell r="J1282" t="str">
            <v>BC</v>
          </cell>
          <cell r="K1282" t="str">
            <v>Deep</v>
          </cell>
          <cell r="L1282">
            <v>14</v>
          </cell>
          <cell r="M1282">
            <v>623.5</v>
          </cell>
        </row>
        <row r="1283">
          <cell r="A1283">
            <v>8</v>
          </cell>
          <cell r="B1283">
            <v>2003</v>
          </cell>
          <cell r="C1283">
            <v>1</v>
          </cell>
          <cell r="D1283" t="str">
            <v>Production</v>
          </cell>
          <cell r="E1283" t="str">
            <v>Unknown- D&amp;C</v>
          </cell>
          <cell r="F1283" t="str">
            <v>Conventional</v>
          </cell>
          <cell r="G1283">
            <v>0</v>
          </cell>
          <cell r="H1283" t="str">
            <v>Production;Unknown- D&amp;C;Conventional</v>
          </cell>
          <cell r="I1283" t="str">
            <v>Unknown- D&amp;C;Conventional;0;8</v>
          </cell>
          <cell r="J1283" t="str">
            <v>BC</v>
          </cell>
          <cell r="K1283" t="str">
            <v>Medium</v>
          </cell>
          <cell r="L1283">
            <v>26</v>
          </cell>
          <cell r="M1283">
            <v>701.5</v>
          </cell>
        </row>
        <row r="1284">
          <cell r="A1284">
            <v>8</v>
          </cell>
          <cell r="B1284">
            <v>2003</v>
          </cell>
          <cell r="C1284">
            <v>1</v>
          </cell>
          <cell r="D1284" t="str">
            <v>Production</v>
          </cell>
          <cell r="E1284" t="str">
            <v>Unknown- D&amp;C</v>
          </cell>
          <cell r="F1284" t="str">
            <v>Conventional</v>
          </cell>
          <cell r="G1284">
            <v>0</v>
          </cell>
          <cell r="H1284" t="str">
            <v>Production;Unknown- D&amp;C;Conventional</v>
          </cell>
          <cell r="I1284" t="str">
            <v>Unknown- D&amp;C;Conventional;0;8</v>
          </cell>
          <cell r="J1284" t="str">
            <v>BC</v>
          </cell>
          <cell r="K1284" t="str">
            <v>Shallow</v>
          </cell>
          <cell r="L1284">
            <v>16</v>
          </cell>
          <cell r="M1284">
            <v>86.81666700000001</v>
          </cell>
        </row>
        <row r="1285">
          <cell r="A1285">
            <v>8</v>
          </cell>
          <cell r="B1285">
            <v>2003</v>
          </cell>
          <cell r="C1285">
            <v>2</v>
          </cell>
          <cell r="D1285" t="str">
            <v>Production</v>
          </cell>
          <cell r="E1285" t="str">
            <v>Unknown- D&amp;C</v>
          </cell>
          <cell r="F1285" t="str">
            <v>Conventional</v>
          </cell>
          <cell r="G1285">
            <v>0</v>
          </cell>
          <cell r="H1285" t="str">
            <v>Production;Unknown- D&amp;C;Conventional</v>
          </cell>
          <cell r="I1285" t="str">
            <v>Unknown- D&amp;C;Conventional;0;8</v>
          </cell>
          <cell r="J1285" t="str">
            <v>BC</v>
          </cell>
          <cell r="K1285" t="str">
            <v>Deep</v>
          </cell>
          <cell r="L1285">
            <v>1</v>
          </cell>
          <cell r="M1285">
            <v>60</v>
          </cell>
        </row>
        <row r="1286">
          <cell r="A1286">
            <v>8</v>
          </cell>
          <cell r="B1286">
            <v>2004</v>
          </cell>
          <cell r="C1286">
            <v>1</v>
          </cell>
          <cell r="D1286" t="str">
            <v>Production</v>
          </cell>
          <cell r="E1286" t="str">
            <v>Unknown- D&amp;C</v>
          </cell>
          <cell r="F1286" t="str">
            <v>Conventional</v>
          </cell>
          <cell r="G1286">
            <v>0</v>
          </cell>
          <cell r="H1286" t="str">
            <v>Production;Unknown- D&amp;C;Conventional</v>
          </cell>
          <cell r="I1286" t="str">
            <v>Unknown- D&amp;C;Conventional;0;8</v>
          </cell>
          <cell r="J1286" t="str">
            <v>BC</v>
          </cell>
          <cell r="K1286" t="str">
            <v>Deep</v>
          </cell>
          <cell r="L1286">
            <v>9</v>
          </cell>
          <cell r="M1286">
            <v>384.5</v>
          </cell>
        </row>
        <row r="1287">
          <cell r="A1287">
            <v>8</v>
          </cell>
          <cell r="B1287">
            <v>2004</v>
          </cell>
          <cell r="C1287">
            <v>1</v>
          </cell>
          <cell r="D1287" t="str">
            <v>Production</v>
          </cell>
          <cell r="E1287" t="str">
            <v>Unknown- D&amp;C</v>
          </cell>
          <cell r="F1287" t="str">
            <v>Conventional</v>
          </cell>
          <cell r="G1287">
            <v>0</v>
          </cell>
          <cell r="H1287" t="str">
            <v>Production;Unknown- D&amp;C;Conventional</v>
          </cell>
          <cell r="I1287" t="str">
            <v>Unknown- D&amp;C;Conventional;0;8</v>
          </cell>
          <cell r="J1287" t="str">
            <v>BC</v>
          </cell>
          <cell r="K1287" t="str">
            <v>Medium</v>
          </cell>
          <cell r="L1287">
            <v>34</v>
          </cell>
          <cell r="M1287">
            <v>575.16666699999996</v>
          </cell>
        </row>
        <row r="1288">
          <cell r="A1288">
            <v>8</v>
          </cell>
          <cell r="B1288">
            <v>2004</v>
          </cell>
          <cell r="C1288">
            <v>1</v>
          </cell>
          <cell r="D1288" t="str">
            <v>Production</v>
          </cell>
          <cell r="E1288" t="str">
            <v>Unknown- D&amp;C</v>
          </cell>
          <cell r="F1288" t="str">
            <v>Conventional</v>
          </cell>
          <cell r="G1288">
            <v>0</v>
          </cell>
          <cell r="H1288" t="str">
            <v>Production;Unknown- D&amp;C;Conventional</v>
          </cell>
          <cell r="I1288" t="str">
            <v>Unknown- D&amp;C;Conventional;0;8</v>
          </cell>
          <cell r="J1288" t="str">
            <v>BC</v>
          </cell>
          <cell r="K1288" t="str">
            <v>Shallow</v>
          </cell>
          <cell r="L1288">
            <v>26</v>
          </cell>
          <cell r="M1288">
            <v>160.54591479999999</v>
          </cell>
        </row>
        <row r="1289">
          <cell r="A1289">
            <v>8</v>
          </cell>
          <cell r="B1289">
            <v>2004</v>
          </cell>
          <cell r="C1289">
            <v>2</v>
          </cell>
          <cell r="D1289" t="str">
            <v>Production</v>
          </cell>
          <cell r="E1289" t="str">
            <v>Unknown- D&amp;C</v>
          </cell>
          <cell r="F1289" t="str">
            <v>Conventional</v>
          </cell>
          <cell r="G1289">
            <v>0</v>
          </cell>
          <cell r="H1289" t="str">
            <v>Production;Unknown- D&amp;C;Conventional</v>
          </cell>
          <cell r="I1289" t="str">
            <v>Unknown- D&amp;C;Conventional;0;8</v>
          </cell>
          <cell r="J1289" t="str">
            <v>BC</v>
          </cell>
          <cell r="K1289" t="str">
            <v>Deep</v>
          </cell>
          <cell r="L1289">
            <v>1</v>
          </cell>
          <cell r="M1289">
            <v>45</v>
          </cell>
        </row>
        <row r="1290">
          <cell r="A1290">
            <v>8</v>
          </cell>
          <cell r="B1290">
            <v>2004</v>
          </cell>
          <cell r="C1290">
            <v>2</v>
          </cell>
          <cell r="D1290" t="str">
            <v>Production</v>
          </cell>
          <cell r="E1290" t="str">
            <v>Unknown- D&amp;C</v>
          </cell>
          <cell r="F1290" t="str">
            <v>Conventional</v>
          </cell>
          <cell r="G1290">
            <v>0</v>
          </cell>
          <cell r="H1290" t="str">
            <v>Production;Unknown- D&amp;C;Conventional</v>
          </cell>
          <cell r="I1290" t="str">
            <v>Unknown- D&amp;C;Conventional;0;8</v>
          </cell>
          <cell r="J1290" t="str">
            <v>BC</v>
          </cell>
          <cell r="K1290" t="str">
            <v>Medium</v>
          </cell>
          <cell r="L1290">
            <v>1</v>
          </cell>
          <cell r="M1290">
            <v>7</v>
          </cell>
        </row>
        <row r="1291">
          <cell r="A1291">
            <v>8</v>
          </cell>
          <cell r="B1291">
            <v>2005</v>
          </cell>
          <cell r="C1291">
            <v>1</v>
          </cell>
          <cell r="D1291" t="str">
            <v>Production</v>
          </cell>
          <cell r="E1291" t="str">
            <v>Unknown- D&amp;C</v>
          </cell>
          <cell r="F1291" t="str">
            <v>Conventional</v>
          </cell>
          <cell r="G1291">
            <v>0</v>
          </cell>
          <cell r="H1291" t="str">
            <v>Production;Unknown- D&amp;C;Conventional</v>
          </cell>
          <cell r="I1291" t="str">
            <v>Unknown- D&amp;C;Conventional;0;8</v>
          </cell>
          <cell r="J1291" t="str">
            <v>BC</v>
          </cell>
          <cell r="K1291" t="str">
            <v>Deep</v>
          </cell>
          <cell r="L1291">
            <v>25</v>
          </cell>
          <cell r="M1291">
            <v>943</v>
          </cell>
        </row>
        <row r="1292">
          <cell r="A1292">
            <v>8</v>
          </cell>
          <cell r="B1292">
            <v>2005</v>
          </cell>
          <cell r="C1292">
            <v>1</v>
          </cell>
          <cell r="D1292" t="str">
            <v>Production</v>
          </cell>
          <cell r="E1292" t="str">
            <v>Unknown- D&amp;C</v>
          </cell>
          <cell r="F1292" t="str">
            <v>Conventional</v>
          </cell>
          <cell r="G1292">
            <v>0</v>
          </cell>
          <cell r="H1292" t="str">
            <v>Production;Unknown- D&amp;C;Conventional</v>
          </cell>
          <cell r="I1292" t="str">
            <v>Unknown- D&amp;C;Conventional;0;8</v>
          </cell>
          <cell r="J1292" t="str">
            <v>BC</v>
          </cell>
          <cell r="K1292" t="str">
            <v>Medium</v>
          </cell>
          <cell r="L1292">
            <v>74</v>
          </cell>
          <cell r="M1292">
            <v>1077.4999969999999</v>
          </cell>
        </row>
        <row r="1293">
          <cell r="A1293">
            <v>8</v>
          </cell>
          <cell r="B1293">
            <v>2005</v>
          </cell>
          <cell r="C1293">
            <v>1</v>
          </cell>
          <cell r="D1293" t="str">
            <v>Production</v>
          </cell>
          <cell r="E1293" t="str">
            <v>Unknown- D&amp;C</v>
          </cell>
          <cell r="F1293" t="str">
            <v>Conventional</v>
          </cell>
          <cell r="G1293">
            <v>0</v>
          </cell>
          <cell r="H1293" t="str">
            <v>Production;Unknown- D&amp;C;Conventional</v>
          </cell>
          <cell r="I1293" t="str">
            <v>Unknown- D&amp;C;Conventional;0;8</v>
          </cell>
          <cell r="J1293" t="str">
            <v>BC</v>
          </cell>
          <cell r="K1293" t="str">
            <v>Shallow</v>
          </cell>
          <cell r="L1293">
            <v>45</v>
          </cell>
          <cell r="M1293">
            <v>373</v>
          </cell>
        </row>
        <row r="1294">
          <cell r="A1294">
            <v>8</v>
          </cell>
          <cell r="B1294">
            <v>2005</v>
          </cell>
          <cell r="C1294">
            <v>2</v>
          </cell>
          <cell r="D1294" t="str">
            <v>Production</v>
          </cell>
          <cell r="E1294" t="str">
            <v>Unknown- D&amp;C</v>
          </cell>
          <cell r="F1294" t="str">
            <v>Conventional</v>
          </cell>
          <cell r="G1294">
            <v>0</v>
          </cell>
          <cell r="H1294" t="str">
            <v>Production;Unknown- D&amp;C;Conventional</v>
          </cell>
          <cell r="I1294" t="str">
            <v>Unknown- D&amp;C;Conventional;0;8</v>
          </cell>
          <cell r="J1294" t="str">
            <v>BC</v>
          </cell>
          <cell r="K1294" t="str">
            <v>Deep</v>
          </cell>
          <cell r="L1294">
            <v>1</v>
          </cell>
          <cell r="M1294">
            <v>63</v>
          </cell>
        </row>
        <row r="1295">
          <cell r="A1295">
            <v>8</v>
          </cell>
          <cell r="B1295">
            <v>2005</v>
          </cell>
          <cell r="C1295">
            <v>2</v>
          </cell>
          <cell r="D1295" t="str">
            <v>Production</v>
          </cell>
          <cell r="E1295" t="str">
            <v>Unknown- D&amp;C</v>
          </cell>
          <cell r="F1295" t="str">
            <v>Conventional</v>
          </cell>
          <cell r="G1295">
            <v>0</v>
          </cell>
          <cell r="H1295" t="str">
            <v>Production;Unknown- D&amp;C;Conventional</v>
          </cell>
          <cell r="I1295" t="str">
            <v>Unknown- D&amp;C;Conventional;0;8</v>
          </cell>
          <cell r="J1295" t="str">
            <v>BC</v>
          </cell>
          <cell r="K1295" t="str">
            <v>Medium</v>
          </cell>
          <cell r="L1295">
            <v>2</v>
          </cell>
          <cell r="M1295">
            <v>42.5</v>
          </cell>
        </row>
        <row r="1296">
          <cell r="A1296">
            <v>8</v>
          </cell>
          <cell r="B1296">
            <v>2006</v>
          </cell>
          <cell r="C1296">
            <v>1</v>
          </cell>
          <cell r="D1296" t="str">
            <v>Production</v>
          </cell>
          <cell r="E1296" t="str">
            <v>Unknown- D&amp;C</v>
          </cell>
          <cell r="F1296" t="str">
            <v>Conventional</v>
          </cell>
          <cell r="G1296">
            <v>0</v>
          </cell>
          <cell r="H1296" t="str">
            <v>Production;Unknown- D&amp;C;Conventional</v>
          </cell>
          <cell r="I1296" t="str">
            <v>Unknown- D&amp;C;Conventional;0;8</v>
          </cell>
          <cell r="J1296" t="str">
            <v>BC</v>
          </cell>
          <cell r="K1296" t="str">
            <v>Deep</v>
          </cell>
          <cell r="L1296">
            <v>33</v>
          </cell>
          <cell r="M1296">
            <v>1431</v>
          </cell>
        </row>
        <row r="1297">
          <cell r="A1297">
            <v>8</v>
          </cell>
          <cell r="B1297">
            <v>2006</v>
          </cell>
          <cell r="C1297">
            <v>1</v>
          </cell>
          <cell r="D1297" t="str">
            <v>Production</v>
          </cell>
          <cell r="E1297" t="str">
            <v>Unknown- D&amp;C</v>
          </cell>
          <cell r="F1297" t="str">
            <v>Conventional</v>
          </cell>
          <cell r="G1297">
            <v>0</v>
          </cell>
          <cell r="H1297" t="str">
            <v>Production;Unknown- D&amp;C;Conventional</v>
          </cell>
          <cell r="I1297" t="str">
            <v>Unknown- D&amp;C;Conventional;0;8</v>
          </cell>
          <cell r="J1297" t="str">
            <v>BC</v>
          </cell>
          <cell r="K1297" t="str">
            <v>Medium</v>
          </cell>
          <cell r="L1297">
            <v>99</v>
          </cell>
          <cell r="M1297">
            <v>1304.8060599</v>
          </cell>
        </row>
        <row r="1298">
          <cell r="A1298">
            <v>8</v>
          </cell>
          <cell r="B1298">
            <v>2006</v>
          </cell>
          <cell r="C1298">
            <v>1</v>
          </cell>
          <cell r="D1298" t="str">
            <v>Production</v>
          </cell>
          <cell r="E1298" t="str">
            <v>Unknown- D&amp;C</v>
          </cell>
          <cell r="F1298" t="str">
            <v>Conventional</v>
          </cell>
          <cell r="G1298">
            <v>0</v>
          </cell>
          <cell r="H1298" t="str">
            <v>Production;Unknown- D&amp;C;Conventional</v>
          </cell>
          <cell r="I1298" t="str">
            <v>Unknown- D&amp;C;Conventional;0;8</v>
          </cell>
          <cell r="J1298" t="str">
            <v>BC</v>
          </cell>
          <cell r="K1298" t="str">
            <v>Shallow</v>
          </cell>
          <cell r="L1298">
            <v>84</v>
          </cell>
          <cell r="M1298">
            <v>494.59214270000001</v>
          </cell>
        </row>
        <row r="1299">
          <cell r="A1299">
            <v>8</v>
          </cell>
          <cell r="B1299">
            <v>2006</v>
          </cell>
          <cell r="C1299">
            <v>2</v>
          </cell>
          <cell r="D1299" t="str">
            <v>Production</v>
          </cell>
          <cell r="E1299" t="str">
            <v>Unknown- D&amp;C</v>
          </cell>
          <cell r="F1299" t="str">
            <v>Conventional</v>
          </cell>
          <cell r="G1299">
            <v>0</v>
          </cell>
          <cell r="H1299" t="str">
            <v>Production;Unknown- D&amp;C;Conventional</v>
          </cell>
          <cell r="I1299" t="str">
            <v>Unknown- D&amp;C;Conventional;0;8</v>
          </cell>
          <cell r="J1299" t="str">
            <v>BC</v>
          </cell>
          <cell r="K1299" t="str">
            <v>Medium</v>
          </cell>
          <cell r="L1299">
            <v>1</v>
          </cell>
          <cell r="M1299">
            <v>12</v>
          </cell>
        </row>
        <row r="1300">
          <cell r="A1300">
            <v>8</v>
          </cell>
          <cell r="B1300">
            <v>2006</v>
          </cell>
          <cell r="C1300">
            <v>3</v>
          </cell>
          <cell r="D1300" t="str">
            <v>Production</v>
          </cell>
          <cell r="E1300" t="str">
            <v>Unknown- D&amp;C</v>
          </cell>
          <cell r="F1300" t="str">
            <v>Conventional</v>
          </cell>
          <cell r="G1300">
            <v>0</v>
          </cell>
          <cell r="H1300" t="str">
            <v>Production;Unknown- D&amp;C;Conventional</v>
          </cell>
          <cell r="I1300" t="str">
            <v>Unknown- D&amp;C;Conventional;0;8</v>
          </cell>
          <cell r="J1300" t="str">
            <v>BC</v>
          </cell>
          <cell r="K1300" t="str">
            <v>Deep</v>
          </cell>
          <cell r="L1300">
            <v>1</v>
          </cell>
          <cell r="M1300">
            <v>2</v>
          </cell>
        </row>
        <row r="1301">
          <cell r="A1301">
            <v>8</v>
          </cell>
          <cell r="B1301">
            <v>2007</v>
          </cell>
          <cell r="C1301">
            <v>1</v>
          </cell>
          <cell r="D1301" t="str">
            <v>Production</v>
          </cell>
          <cell r="E1301" t="str">
            <v>Unknown- D&amp;C</v>
          </cell>
          <cell r="F1301" t="str">
            <v>Conventional</v>
          </cell>
          <cell r="G1301">
            <v>0</v>
          </cell>
          <cell r="H1301" t="str">
            <v>Production;Unknown- D&amp;C;Conventional</v>
          </cell>
          <cell r="I1301" t="str">
            <v>Unknown- D&amp;C;Conventional;0;8</v>
          </cell>
          <cell r="J1301" t="str">
            <v>BC</v>
          </cell>
          <cell r="K1301" t="str">
            <v>Deep</v>
          </cell>
          <cell r="L1301">
            <v>9</v>
          </cell>
          <cell r="M1301">
            <v>195.5</v>
          </cell>
        </row>
        <row r="1302">
          <cell r="A1302">
            <v>8</v>
          </cell>
          <cell r="B1302">
            <v>2007</v>
          </cell>
          <cell r="C1302">
            <v>1</v>
          </cell>
          <cell r="D1302" t="str">
            <v>Production</v>
          </cell>
          <cell r="E1302" t="str">
            <v>Unknown- D&amp;C</v>
          </cell>
          <cell r="F1302" t="str">
            <v>Conventional</v>
          </cell>
          <cell r="G1302">
            <v>0</v>
          </cell>
          <cell r="H1302" t="str">
            <v>Production;Unknown- D&amp;C;Conventional</v>
          </cell>
          <cell r="I1302" t="str">
            <v>Unknown- D&amp;C;Conventional;0;8</v>
          </cell>
          <cell r="J1302" t="str">
            <v>BC</v>
          </cell>
          <cell r="K1302" t="str">
            <v>Medium</v>
          </cell>
          <cell r="L1302">
            <v>36</v>
          </cell>
          <cell r="M1302">
            <v>400</v>
          </cell>
        </row>
        <row r="1303">
          <cell r="A1303">
            <v>8</v>
          </cell>
          <cell r="B1303">
            <v>2007</v>
          </cell>
          <cell r="C1303">
            <v>1</v>
          </cell>
          <cell r="D1303" t="str">
            <v>Production</v>
          </cell>
          <cell r="E1303" t="str">
            <v>Unknown- D&amp;C</v>
          </cell>
          <cell r="F1303" t="str">
            <v>Conventional</v>
          </cell>
          <cell r="G1303">
            <v>0</v>
          </cell>
          <cell r="H1303" t="str">
            <v>Production;Unknown- D&amp;C;Conventional</v>
          </cell>
          <cell r="I1303" t="str">
            <v>Unknown- D&amp;C;Conventional;0;8</v>
          </cell>
          <cell r="J1303" t="str">
            <v>BC</v>
          </cell>
          <cell r="K1303" t="str">
            <v>Shallow</v>
          </cell>
          <cell r="L1303">
            <v>31</v>
          </cell>
          <cell r="M1303">
            <v>330.66669999999999</v>
          </cell>
        </row>
        <row r="1304">
          <cell r="A1304">
            <v>9</v>
          </cell>
          <cell r="B1304">
            <v>2000</v>
          </cell>
          <cell r="C1304">
            <v>1</v>
          </cell>
          <cell r="D1304" t="str">
            <v>Production</v>
          </cell>
          <cell r="E1304" t="str">
            <v>Unknown- D&amp;C</v>
          </cell>
          <cell r="F1304" t="str">
            <v>Conventional</v>
          </cell>
          <cell r="G1304">
            <v>0</v>
          </cell>
          <cell r="H1304" t="str">
            <v>Production;Unknown- D&amp;C;Conventional</v>
          </cell>
          <cell r="I1304" t="str">
            <v>Unknown- D&amp;C;Conventional;0;9</v>
          </cell>
          <cell r="J1304" t="str">
            <v>BC</v>
          </cell>
          <cell r="K1304" t="str">
            <v>Deep</v>
          </cell>
          <cell r="L1304">
            <v>3</v>
          </cell>
          <cell r="M1304">
            <v>112</v>
          </cell>
        </row>
        <row r="1305">
          <cell r="A1305">
            <v>9</v>
          </cell>
          <cell r="B1305">
            <v>2000</v>
          </cell>
          <cell r="C1305">
            <v>1</v>
          </cell>
          <cell r="D1305" t="str">
            <v>Production</v>
          </cell>
          <cell r="E1305" t="str">
            <v>Unknown- D&amp;C</v>
          </cell>
          <cell r="F1305" t="str">
            <v>Conventional</v>
          </cell>
          <cell r="G1305">
            <v>0</v>
          </cell>
          <cell r="H1305" t="str">
            <v>Production;Unknown- D&amp;C;Conventional</v>
          </cell>
          <cell r="I1305" t="str">
            <v>Unknown- D&amp;C;Conventional;0;9</v>
          </cell>
          <cell r="J1305" t="str">
            <v>BC</v>
          </cell>
          <cell r="K1305" t="str">
            <v>Medium</v>
          </cell>
          <cell r="L1305">
            <v>8</v>
          </cell>
          <cell r="M1305">
            <v>108.66666599999999</v>
          </cell>
        </row>
        <row r="1306">
          <cell r="A1306">
            <v>9</v>
          </cell>
          <cell r="B1306">
            <v>2000</v>
          </cell>
          <cell r="C1306">
            <v>1</v>
          </cell>
          <cell r="D1306" t="str">
            <v>Production</v>
          </cell>
          <cell r="E1306" t="str">
            <v>Unknown- D&amp;C</v>
          </cell>
          <cell r="F1306" t="str">
            <v>Conventional</v>
          </cell>
          <cell r="G1306">
            <v>0</v>
          </cell>
          <cell r="H1306" t="str">
            <v>Production;Unknown- D&amp;C;Conventional</v>
          </cell>
          <cell r="I1306" t="str">
            <v>Unknown- D&amp;C;Conventional;0;9</v>
          </cell>
          <cell r="J1306" t="str">
            <v>BC</v>
          </cell>
          <cell r="K1306" t="str">
            <v>Shallow</v>
          </cell>
          <cell r="L1306">
            <v>5</v>
          </cell>
          <cell r="M1306">
            <v>45.319845999999998</v>
          </cell>
        </row>
        <row r="1307">
          <cell r="A1307">
            <v>9</v>
          </cell>
          <cell r="B1307">
            <v>2000</v>
          </cell>
          <cell r="C1307">
            <v>2</v>
          </cell>
          <cell r="D1307" t="str">
            <v>Production</v>
          </cell>
          <cell r="E1307" t="str">
            <v>Unknown- D&amp;C</v>
          </cell>
          <cell r="F1307" t="str">
            <v>Conventional</v>
          </cell>
          <cell r="G1307">
            <v>0</v>
          </cell>
          <cell r="H1307" t="str">
            <v>Production;Unknown- D&amp;C;Conventional</v>
          </cell>
          <cell r="I1307" t="str">
            <v>Unknown- D&amp;C;Conventional;0;9</v>
          </cell>
          <cell r="J1307" t="str">
            <v>BC</v>
          </cell>
          <cell r="K1307" t="str">
            <v>Medium</v>
          </cell>
          <cell r="L1307">
            <v>1</v>
          </cell>
          <cell r="M1307">
            <v>19</v>
          </cell>
        </row>
        <row r="1308">
          <cell r="A1308">
            <v>9</v>
          </cell>
          <cell r="B1308">
            <v>2000</v>
          </cell>
          <cell r="C1308">
            <v>3</v>
          </cell>
          <cell r="D1308" t="str">
            <v>Production</v>
          </cell>
          <cell r="E1308" t="str">
            <v>Unknown- D&amp;C</v>
          </cell>
          <cell r="F1308" t="str">
            <v>Conventional</v>
          </cell>
          <cell r="G1308">
            <v>0</v>
          </cell>
          <cell r="H1308" t="str">
            <v>Production;Unknown- D&amp;C;Conventional</v>
          </cell>
          <cell r="I1308" t="str">
            <v>Unknown- D&amp;C;Conventional;0;9</v>
          </cell>
          <cell r="J1308" t="str">
            <v>BC</v>
          </cell>
          <cell r="K1308" t="str">
            <v>Medium</v>
          </cell>
          <cell r="L1308">
            <v>1</v>
          </cell>
          <cell r="M1308">
            <v>18</v>
          </cell>
        </row>
        <row r="1309">
          <cell r="A1309">
            <v>9</v>
          </cell>
          <cell r="B1309">
            <v>2001</v>
          </cell>
          <cell r="C1309">
            <v>1</v>
          </cell>
          <cell r="D1309" t="str">
            <v>Production</v>
          </cell>
          <cell r="E1309" t="str">
            <v>Unknown- D&amp;C</v>
          </cell>
          <cell r="F1309" t="str">
            <v>Conventional</v>
          </cell>
          <cell r="G1309">
            <v>0</v>
          </cell>
          <cell r="H1309" t="str">
            <v>Production;Unknown- D&amp;C;Conventional</v>
          </cell>
          <cell r="I1309" t="str">
            <v>Unknown- D&amp;C;Conventional;0;9</v>
          </cell>
          <cell r="J1309" t="str">
            <v>BC</v>
          </cell>
          <cell r="K1309" t="str">
            <v>Deep</v>
          </cell>
          <cell r="L1309">
            <v>8</v>
          </cell>
          <cell r="M1309">
            <v>427.41665999999998</v>
          </cell>
        </row>
        <row r="1310">
          <cell r="A1310">
            <v>9</v>
          </cell>
          <cell r="B1310">
            <v>2001</v>
          </cell>
          <cell r="C1310">
            <v>1</v>
          </cell>
          <cell r="D1310" t="str">
            <v>Production</v>
          </cell>
          <cell r="E1310" t="str">
            <v>Unknown- D&amp;C</v>
          </cell>
          <cell r="F1310" t="str">
            <v>Conventional</v>
          </cell>
          <cell r="G1310">
            <v>0</v>
          </cell>
          <cell r="H1310" t="str">
            <v>Production;Unknown- D&amp;C;Conventional</v>
          </cell>
          <cell r="I1310" t="str">
            <v>Unknown- D&amp;C;Conventional;0;9</v>
          </cell>
          <cell r="J1310" t="str">
            <v>BC</v>
          </cell>
          <cell r="K1310" t="str">
            <v>Medium</v>
          </cell>
          <cell r="L1310">
            <v>24</v>
          </cell>
          <cell r="M1310">
            <v>567.83332299999995</v>
          </cell>
        </row>
        <row r="1311">
          <cell r="A1311">
            <v>9</v>
          </cell>
          <cell r="B1311">
            <v>2001</v>
          </cell>
          <cell r="C1311">
            <v>1</v>
          </cell>
          <cell r="D1311" t="str">
            <v>Production</v>
          </cell>
          <cell r="E1311" t="str">
            <v>Unknown- D&amp;C</v>
          </cell>
          <cell r="F1311" t="str">
            <v>Conventional</v>
          </cell>
          <cell r="G1311">
            <v>0</v>
          </cell>
          <cell r="H1311" t="str">
            <v>Production;Unknown- D&amp;C;Conventional</v>
          </cell>
          <cell r="I1311" t="str">
            <v>Unknown- D&amp;C;Conventional;0;9</v>
          </cell>
          <cell r="J1311" t="str">
            <v>BC</v>
          </cell>
          <cell r="K1311" t="str">
            <v>SHALLOW</v>
          </cell>
          <cell r="L1311">
            <v>15</v>
          </cell>
          <cell r="M1311">
            <v>223.85586050000001</v>
          </cell>
        </row>
        <row r="1312">
          <cell r="A1312">
            <v>9</v>
          </cell>
          <cell r="B1312">
            <v>2002</v>
          </cell>
          <cell r="C1312">
            <v>1</v>
          </cell>
          <cell r="D1312" t="str">
            <v>Production</v>
          </cell>
          <cell r="E1312" t="str">
            <v>Unknown- D&amp;C</v>
          </cell>
          <cell r="F1312" t="str">
            <v>Conventional</v>
          </cell>
          <cell r="G1312">
            <v>0</v>
          </cell>
          <cell r="H1312" t="str">
            <v>Production;Unknown- D&amp;C;Conventional</v>
          </cell>
          <cell r="I1312" t="str">
            <v>Unknown- D&amp;C;Conventional;0;9</v>
          </cell>
          <cell r="J1312" t="str">
            <v>BC</v>
          </cell>
          <cell r="K1312" t="str">
            <v>Deep</v>
          </cell>
          <cell r="L1312">
            <v>6</v>
          </cell>
          <cell r="M1312">
            <v>225.16667000000001</v>
          </cell>
        </row>
        <row r="1313">
          <cell r="A1313">
            <v>9</v>
          </cell>
          <cell r="B1313">
            <v>2002</v>
          </cell>
          <cell r="C1313">
            <v>1</v>
          </cell>
          <cell r="D1313" t="str">
            <v>Production</v>
          </cell>
          <cell r="E1313" t="str">
            <v>Unknown- D&amp;C</v>
          </cell>
          <cell r="F1313" t="str">
            <v>Conventional</v>
          </cell>
          <cell r="G1313">
            <v>0</v>
          </cell>
          <cell r="H1313" t="str">
            <v>Production;Unknown- D&amp;C;Conventional</v>
          </cell>
          <cell r="I1313" t="str">
            <v>Unknown- D&amp;C;Conventional;0;9</v>
          </cell>
          <cell r="J1313" t="str">
            <v>BC</v>
          </cell>
          <cell r="K1313" t="str">
            <v>Medium</v>
          </cell>
          <cell r="L1313">
            <v>13</v>
          </cell>
          <cell r="M1313">
            <v>240.33332999999999</v>
          </cell>
        </row>
        <row r="1314">
          <cell r="A1314">
            <v>9</v>
          </cell>
          <cell r="B1314">
            <v>2002</v>
          </cell>
          <cell r="C1314">
            <v>1</v>
          </cell>
          <cell r="D1314" t="str">
            <v>Production</v>
          </cell>
          <cell r="E1314" t="str">
            <v>Unknown- D&amp;C</v>
          </cell>
          <cell r="F1314" t="str">
            <v>Conventional</v>
          </cell>
          <cell r="G1314">
            <v>0</v>
          </cell>
          <cell r="H1314" t="str">
            <v>Production;Unknown- D&amp;C;Conventional</v>
          </cell>
          <cell r="I1314" t="str">
            <v>Unknown- D&amp;C;Conventional;0;9</v>
          </cell>
          <cell r="J1314" t="str">
            <v>BC</v>
          </cell>
          <cell r="K1314" t="str">
            <v>Shallow</v>
          </cell>
          <cell r="L1314">
            <v>2</v>
          </cell>
          <cell r="M1314">
            <v>30</v>
          </cell>
        </row>
        <row r="1315">
          <cell r="A1315">
            <v>9</v>
          </cell>
          <cell r="B1315">
            <v>2003</v>
          </cell>
          <cell r="C1315">
            <v>1</v>
          </cell>
          <cell r="D1315" t="str">
            <v>Production</v>
          </cell>
          <cell r="E1315" t="str">
            <v>Unknown- D&amp;C</v>
          </cell>
          <cell r="F1315" t="str">
            <v>Conventional</v>
          </cell>
          <cell r="G1315">
            <v>0</v>
          </cell>
          <cell r="H1315" t="str">
            <v>Production;Unknown- D&amp;C;Conventional</v>
          </cell>
          <cell r="I1315" t="str">
            <v>Unknown- D&amp;C;Conventional;0;9</v>
          </cell>
          <cell r="J1315" t="str">
            <v>BC</v>
          </cell>
          <cell r="K1315" t="str">
            <v>Deep</v>
          </cell>
          <cell r="L1315">
            <v>8</v>
          </cell>
          <cell r="M1315">
            <v>297</v>
          </cell>
        </row>
        <row r="1316">
          <cell r="A1316">
            <v>9</v>
          </cell>
          <cell r="B1316">
            <v>2003</v>
          </cell>
          <cell r="C1316">
            <v>1</v>
          </cell>
          <cell r="D1316" t="str">
            <v>Production</v>
          </cell>
          <cell r="E1316" t="str">
            <v>Unknown- D&amp;C</v>
          </cell>
          <cell r="F1316" t="str">
            <v>Conventional</v>
          </cell>
          <cell r="G1316">
            <v>0</v>
          </cell>
          <cell r="H1316" t="str">
            <v>Production;Unknown- D&amp;C;Conventional</v>
          </cell>
          <cell r="I1316" t="str">
            <v>Unknown- D&amp;C;Conventional;0;9</v>
          </cell>
          <cell r="J1316" t="str">
            <v>BC</v>
          </cell>
          <cell r="K1316" t="str">
            <v>Medium</v>
          </cell>
          <cell r="L1316">
            <v>30</v>
          </cell>
          <cell r="M1316">
            <v>511.25001300000002</v>
          </cell>
        </row>
        <row r="1317">
          <cell r="A1317">
            <v>9</v>
          </cell>
          <cell r="B1317">
            <v>2003</v>
          </cell>
          <cell r="C1317">
            <v>1</v>
          </cell>
          <cell r="D1317" t="str">
            <v>Production</v>
          </cell>
          <cell r="E1317" t="str">
            <v>Unknown- D&amp;C</v>
          </cell>
          <cell r="F1317" t="str">
            <v>Conventional</v>
          </cell>
          <cell r="G1317">
            <v>0</v>
          </cell>
          <cell r="H1317" t="str">
            <v>Production;Unknown- D&amp;C;Conventional</v>
          </cell>
          <cell r="I1317" t="str">
            <v>Unknown- D&amp;C;Conventional;0;9</v>
          </cell>
          <cell r="J1317" t="str">
            <v>BC</v>
          </cell>
          <cell r="K1317" t="str">
            <v>Shallow</v>
          </cell>
          <cell r="L1317">
            <v>9</v>
          </cell>
          <cell r="M1317">
            <v>45</v>
          </cell>
        </row>
        <row r="1318">
          <cell r="A1318">
            <v>9</v>
          </cell>
          <cell r="B1318">
            <v>2003</v>
          </cell>
          <cell r="C1318">
            <v>2</v>
          </cell>
          <cell r="D1318" t="str">
            <v>Production</v>
          </cell>
          <cell r="E1318" t="str">
            <v>Unknown- D&amp;C</v>
          </cell>
          <cell r="F1318" t="str">
            <v>Conventional</v>
          </cell>
          <cell r="G1318">
            <v>0</v>
          </cell>
          <cell r="H1318" t="str">
            <v>Production;Unknown- D&amp;C;Conventional</v>
          </cell>
          <cell r="I1318" t="str">
            <v>Unknown- D&amp;C;Conventional;0;9</v>
          </cell>
          <cell r="J1318" t="str">
            <v>BC</v>
          </cell>
          <cell r="K1318" t="str">
            <v>Medium</v>
          </cell>
          <cell r="L1318">
            <v>1</v>
          </cell>
          <cell r="M1318">
            <v>9</v>
          </cell>
        </row>
        <row r="1319">
          <cell r="A1319">
            <v>9</v>
          </cell>
          <cell r="B1319">
            <v>2004</v>
          </cell>
          <cell r="C1319">
            <v>1</v>
          </cell>
          <cell r="D1319" t="str">
            <v>Production</v>
          </cell>
          <cell r="E1319" t="str">
            <v>Unknown- D&amp;C</v>
          </cell>
          <cell r="F1319" t="str">
            <v>Conventional</v>
          </cell>
          <cell r="G1319">
            <v>0</v>
          </cell>
          <cell r="H1319" t="str">
            <v>Production;Unknown- D&amp;C;Conventional</v>
          </cell>
          <cell r="I1319" t="str">
            <v>Unknown- D&amp;C;Conventional;0;9</v>
          </cell>
          <cell r="J1319" t="str">
            <v>BC</v>
          </cell>
          <cell r="K1319" t="str">
            <v>Deep</v>
          </cell>
          <cell r="L1319">
            <v>5</v>
          </cell>
          <cell r="M1319">
            <v>140</v>
          </cell>
        </row>
        <row r="1320">
          <cell r="A1320">
            <v>9</v>
          </cell>
          <cell r="B1320">
            <v>2004</v>
          </cell>
          <cell r="C1320">
            <v>1</v>
          </cell>
          <cell r="D1320" t="str">
            <v>Production</v>
          </cell>
          <cell r="E1320" t="str">
            <v>Unknown- D&amp;C</v>
          </cell>
          <cell r="F1320" t="str">
            <v>Conventional</v>
          </cell>
          <cell r="G1320">
            <v>0</v>
          </cell>
          <cell r="H1320" t="str">
            <v>Production;Unknown- D&amp;C;Conventional</v>
          </cell>
          <cell r="I1320" t="str">
            <v>Unknown- D&amp;C;Conventional;0;9</v>
          </cell>
          <cell r="J1320" t="str">
            <v>BC</v>
          </cell>
          <cell r="K1320" t="str">
            <v>Medium</v>
          </cell>
          <cell r="L1320">
            <v>51</v>
          </cell>
          <cell r="M1320">
            <v>986.16666399999997</v>
          </cell>
        </row>
        <row r="1321">
          <cell r="A1321">
            <v>9</v>
          </cell>
          <cell r="B1321">
            <v>2004</v>
          </cell>
          <cell r="C1321">
            <v>1</v>
          </cell>
          <cell r="D1321" t="str">
            <v>Production</v>
          </cell>
          <cell r="E1321" t="str">
            <v>Unknown- D&amp;C</v>
          </cell>
          <cell r="F1321" t="str">
            <v>Conventional</v>
          </cell>
          <cell r="G1321">
            <v>0</v>
          </cell>
          <cell r="H1321" t="str">
            <v>Production;Unknown- D&amp;C;Conventional</v>
          </cell>
          <cell r="I1321" t="str">
            <v>Unknown- D&amp;C;Conventional;0;9</v>
          </cell>
          <cell r="J1321" t="str">
            <v>BC</v>
          </cell>
          <cell r="K1321" t="str">
            <v>Shallow</v>
          </cell>
          <cell r="L1321">
            <v>16</v>
          </cell>
          <cell r="M1321">
            <v>64.289285700000008</v>
          </cell>
        </row>
        <row r="1322">
          <cell r="A1322">
            <v>9</v>
          </cell>
          <cell r="B1322">
            <v>2004</v>
          </cell>
          <cell r="C1322">
            <v>2</v>
          </cell>
          <cell r="D1322" t="str">
            <v>Production</v>
          </cell>
          <cell r="E1322" t="str">
            <v>Unknown- D&amp;C</v>
          </cell>
          <cell r="F1322" t="str">
            <v>Conventional</v>
          </cell>
          <cell r="G1322">
            <v>0</v>
          </cell>
          <cell r="H1322" t="str">
            <v>Production;Unknown- D&amp;C;Conventional</v>
          </cell>
          <cell r="I1322" t="str">
            <v>Unknown- D&amp;C;Conventional;0;9</v>
          </cell>
          <cell r="J1322" t="str">
            <v>BC</v>
          </cell>
          <cell r="K1322" t="str">
            <v>MEDIUM</v>
          </cell>
          <cell r="L1322">
            <v>2</v>
          </cell>
          <cell r="M1322">
            <v>31</v>
          </cell>
        </row>
        <row r="1323">
          <cell r="A1323">
            <v>9</v>
          </cell>
          <cell r="B1323">
            <v>2005</v>
          </cell>
          <cell r="C1323">
            <v>1</v>
          </cell>
          <cell r="D1323" t="str">
            <v>Production</v>
          </cell>
          <cell r="E1323" t="str">
            <v>Unknown- D&amp;C</v>
          </cell>
          <cell r="F1323" t="str">
            <v>Conventional</v>
          </cell>
          <cell r="G1323">
            <v>0</v>
          </cell>
          <cell r="H1323" t="str">
            <v>Production;Unknown- D&amp;C;Conventional</v>
          </cell>
          <cell r="I1323" t="str">
            <v>Unknown- D&amp;C;Conventional;0;9</v>
          </cell>
          <cell r="J1323" t="str">
            <v>BC</v>
          </cell>
          <cell r="K1323" t="str">
            <v>Deep</v>
          </cell>
          <cell r="L1323">
            <v>8</v>
          </cell>
          <cell r="M1323">
            <v>170.5</v>
          </cell>
        </row>
        <row r="1324">
          <cell r="A1324">
            <v>9</v>
          </cell>
          <cell r="B1324">
            <v>2005</v>
          </cell>
          <cell r="C1324">
            <v>1</v>
          </cell>
          <cell r="D1324" t="str">
            <v>Production</v>
          </cell>
          <cell r="E1324" t="str">
            <v>Unknown- D&amp;C</v>
          </cell>
          <cell r="F1324" t="str">
            <v>Conventional</v>
          </cell>
          <cell r="G1324">
            <v>0</v>
          </cell>
          <cell r="H1324" t="str">
            <v>Production;Unknown- D&amp;C;Conventional</v>
          </cell>
          <cell r="I1324" t="str">
            <v>Unknown- D&amp;C;Conventional;0;9</v>
          </cell>
          <cell r="J1324" t="str">
            <v>BC</v>
          </cell>
          <cell r="K1324" t="str">
            <v>Medium</v>
          </cell>
          <cell r="L1324">
            <v>29</v>
          </cell>
          <cell r="M1324">
            <v>861.99999000000014</v>
          </cell>
        </row>
        <row r="1325">
          <cell r="A1325">
            <v>9</v>
          </cell>
          <cell r="B1325">
            <v>2005</v>
          </cell>
          <cell r="C1325">
            <v>1</v>
          </cell>
          <cell r="D1325" t="str">
            <v>Production</v>
          </cell>
          <cell r="E1325" t="str">
            <v>Unknown- D&amp;C</v>
          </cell>
          <cell r="F1325" t="str">
            <v>Conventional</v>
          </cell>
          <cell r="G1325">
            <v>0</v>
          </cell>
          <cell r="H1325" t="str">
            <v>Production;Unknown- D&amp;C;Conventional</v>
          </cell>
          <cell r="I1325" t="str">
            <v>Unknown- D&amp;C;Conventional;0;9</v>
          </cell>
          <cell r="J1325" t="str">
            <v>BC</v>
          </cell>
          <cell r="K1325" t="str">
            <v>Shallow</v>
          </cell>
          <cell r="L1325">
            <v>7</v>
          </cell>
          <cell r="M1325">
            <v>43.916667000000004</v>
          </cell>
        </row>
        <row r="1326">
          <cell r="A1326">
            <v>9</v>
          </cell>
          <cell r="B1326">
            <v>2005</v>
          </cell>
          <cell r="C1326">
            <v>2</v>
          </cell>
          <cell r="D1326" t="str">
            <v>Production</v>
          </cell>
          <cell r="E1326" t="str">
            <v>Unknown- D&amp;C</v>
          </cell>
          <cell r="F1326" t="str">
            <v>Conventional</v>
          </cell>
          <cell r="G1326">
            <v>0</v>
          </cell>
          <cell r="H1326" t="str">
            <v>Production;Unknown- D&amp;C;Conventional</v>
          </cell>
          <cell r="I1326" t="str">
            <v>Unknown- D&amp;C;Conventional;0;9</v>
          </cell>
          <cell r="J1326" t="str">
            <v>BC</v>
          </cell>
          <cell r="K1326" t="str">
            <v>Deep</v>
          </cell>
          <cell r="L1326">
            <v>1</v>
          </cell>
          <cell r="M1326">
            <v>24</v>
          </cell>
        </row>
        <row r="1327">
          <cell r="A1327">
            <v>9</v>
          </cell>
          <cell r="B1327">
            <v>2005</v>
          </cell>
          <cell r="C1327">
            <v>2</v>
          </cell>
          <cell r="D1327" t="str">
            <v>Production</v>
          </cell>
          <cell r="E1327" t="str">
            <v>Unknown- D&amp;C</v>
          </cell>
          <cell r="F1327" t="str">
            <v>Conventional</v>
          </cell>
          <cell r="G1327">
            <v>0</v>
          </cell>
          <cell r="H1327" t="str">
            <v>Production;Unknown- D&amp;C;Conventional</v>
          </cell>
          <cell r="I1327" t="str">
            <v>Unknown- D&amp;C;Conventional;0;9</v>
          </cell>
          <cell r="J1327" t="str">
            <v>BC</v>
          </cell>
          <cell r="K1327" t="str">
            <v>Medium</v>
          </cell>
          <cell r="L1327">
            <v>2</v>
          </cell>
          <cell r="M1327">
            <v>42</v>
          </cell>
        </row>
        <row r="1328">
          <cell r="A1328">
            <v>9</v>
          </cell>
          <cell r="B1328">
            <v>2006</v>
          </cell>
          <cell r="C1328">
            <v>1</v>
          </cell>
          <cell r="D1328" t="str">
            <v>Production</v>
          </cell>
          <cell r="E1328" t="str">
            <v>Unknown- D&amp;C</v>
          </cell>
          <cell r="F1328" t="str">
            <v>Conventional</v>
          </cell>
          <cell r="G1328">
            <v>0</v>
          </cell>
          <cell r="H1328" t="str">
            <v>Production;Unknown- D&amp;C;Conventional</v>
          </cell>
          <cell r="I1328" t="str">
            <v>Unknown- D&amp;C;Conventional;0;9</v>
          </cell>
          <cell r="J1328" t="str">
            <v>BC</v>
          </cell>
          <cell r="K1328" t="str">
            <v>Deep</v>
          </cell>
          <cell r="L1328">
            <v>7</v>
          </cell>
          <cell r="M1328">
            <v>322.5</v>
          </cell>
        </row>
        <row r="1329">
          <cell r="A1329">
            <v>9</v>
          </cell>
          <cell r="B1329">
            <v>2006</v>
          </cell>
          <cell r="C1329">
            <v>1</v>
          </cell>
          <cell r="D1329" t="str">
            <v>Production</v>
          </cell>
          <cell r="E1329" t="str">
            <v>Unknown- D&amp;C</v>
          </cell>
          <cell r="F1329" t="str">
            <v>Conventional</v>
          </cell>
          <cell r="G1329">
            <v>0</v>
          </cell>
          <cell r="H1329" t="str">
            <v>Production;Unknown- D&amp;C;Conventional</v>
          </cell>
          <cell r="I1329" t="str">
            <v>Unknown- D&amp;C;Conventional;0;9</v>
          </cell>
          <cell r="J1329" t="str">
            <v>BC</v>
          </cell>
          <cell r="K1329" t="str">
            <v>Medium</v>
          </cell>
          <cell r="L1329">
            <v>23</v>
          </cell>
          <cell r="M1329">
            <v>500.41666700000002</v>
          </cell>
        </row>
        <row r="1330">
          <cell r="A1330">
            <v>9</v>
          </cell>
          <cell r="B1330">
            <v>2006</v>
          </cell>
          <cell r="C1330">
            <v>1</v>
          </cell>
          <cell r="D1330" t="str">
            <v>Production</v>
          </cell>
          <cell r="E1330" t="str">
            <v>Unknown- D&amp;C</v>
          </cell>
          <cell r="F1330" t="str">
            <v>Conventional</v>
          </cell>
          <cell r="G1330">
            <v>0</v>
          </cell>
          <cell r="H1330" t="str">
            <v>Production;Unknown- D&amp;C;Conventional</v>
          </cell>
          <cell r="I1330" t="str">
            <v>Unknown- D&amp;C;Conventional;0;9</v>
          </cell>
          <cell r="J1330" t="str">
            <v>BC</v>
          </cell>
          <cell r="K1330" t="str">
            <v>Shallow</v>
          </cell>
          <cell r="L1330">
            <v>37</v>
          </cell>
          <cell r="M1330">
            <v>463.45079709999993</v>
          </cell>
        </row>
        <row r="1331">
          <cell r="A1331">
            <v>9</v>
          </cell>
          <cell r="B1331">
            <v>2006</v>
          </cell>
          <cell r="C1331">
            <v>2</v>
          </cell>
          <cell r="D1331" t="str">
            <v>Production</v>
          </cell>
          <cell r="E1331" t="str">
            <v>Unknown- D&amp;C</v>
          </cell>
          <cell r="F1331" t="str">
            <v>Conventional</v>
          </cell>
          <cell r="G1331">
            <v>0</v>
          </cell>
          <cell r="H1331" t="str">
            <v>Production;Unknown- D&amp;C;Conventional</v>
          </cell>
          <cell r="I1331" t="str">
            <v>Unknown- D&amp;C;Conventional;0;9</v>
          </cell>
          <cell r="J1331" t="str">
            <v>BC</v>
          </cell>
          <cell r="K1331" t="str">
            <v>Medium</v>
          </cell>
          <cell r="L1331">
            <v>1</v>
          </cell>
          <cell r="M1331">
            <v>12</v>
          </cell>
        </row>
        <row r="1332">
          <cell r="A1332">
            <v>9</v>
          </cell>
          <cell r="B1332">
            <v>2007</v>
          </cell>
          <cell r="C1332">
            <v>1</v>
          </cell>
          <cell r="D1332" t="str">
            <v>Production</v>
          </cell>
          <cell r="E1332" t="str">
            <v>Unknown- D&amp;C</v>
          </cell>
          <cell r="F1332" t="str">
            <v>Conventional</v>
          </cell>
          <cell r="G1332">
            <v>0</v>
          </cell>
          <cell r="H1332" t="str">
            <v>Production;Unknown- D&amp;C;Conventional</v>
          </cell>
          <cell r="I1332" t="str">
            <v>Unknown- D&amp;C;Conventional;0;9</v>
          </cell>
          <cell r="J1332" t="str">
            <v>BC</v>
          </cell>
          <cell r="K1332" t="str">
            <v>Deep</v>
          </cell>
          <cell r="L1332">
            <v>2</v>
          </cell>
          <cell r="M1332">
            <v>40</v>
          </cell>
        </row>
        <row r="1333">
          <cell r="A1333">
            <v>9</v>
          </cell>
          <cell r="B1333">
            <v>2007</v>
          </cell>
          <cell r="C1333">
            <v>1</v>
          </cell>
          <cell r="D1333" t="str">
            <v>Production</v>
          </cell>
          <cell r="E1333" t="str">
            <v>Unknown- D&amp;C</v>
          </cell>
          <cell r="F1333" t="str">
            <v>Conventional</v>
          </cell>
          <cell r="G1333">
            <v>0</v>
          </cell>
          <cell r="H1333" t="str">
            <v>Production;Unknown- D&amp;C;Conventional</v>
          </cell>
          <cell r="I1333" t="str">
            <v>Unknown- D&amp;C;Conventional;0;9</v>
          </cell>
          <cell r="J1333" t="str">
            <v>BC</v>
          </cell>
          <cell r="K1333" t="str">
            <v>Medium</v>
          </cell>
          <cell r="L1333">
            <v>36</v>
          </cell>
          <cell r="M1333">
            <v>977</v>
          </cell>
        </row>
        <row r="1334">
          <cell r="A1334">
            <v>9</v>
          </cell>
          <cell r="B1334">
            <v>2007</v>
          </cell>
          <cell r="C1334">
            <v>1</v>
          </cell>
          <cell r="D1334" t="str">
            <v>Production</v>
          </cell>
          <cell r="E1334" t="str">
            <v>Unknown- D&amp;C</v>
          </cell>
          <cell r="F1334" t="str">
            <v>Conventional</v>
          </cell>
          <cell r="G1334">
            <v>0</v>
          </cell>
          <cell r="H1334" t="str">
            <v>Production;Unknown- D&amp;C;Conventional</v>
          </cell>
          <cell r="I1334" t="str">
            <v>Unknown- D&amp;C;Conventional;0;9</v>
          </cell>
          <cell r="J1334" t="str">
            <v>BC</v>
          </cell>
          <cell r="K1334" t="str">
            <v>Shallow</v>
          </cell>
          <cell r="L1334">
            <v>25</v>
          </cell>
          <cell r="M1334">
            <v>1061.3</v>
          </cell>
        </row>
        <row r="1335">
          <cell r="A1335">
            <v>9</v>
          </cell>
          <cell r="B1335">
            <v>2007</v>
          </cell>
          <cell r="C1335">
            <v>2</v>
          </cell>
          <cell r="D1335" t="str">
            <v>Production</v>
          </cell>
          <cell r="E1335" t="str">
            <v>Unknown- D&amp;C</v>
          </cell>
          <cell r="F1335" t="str">
            <v>Conventional</v>
          </cell>
          <cell r="G1335">
            <v>0</v>
          </cell>
          <cell r="H1335" t="str">
            <v>Production;Unknown- D&amp;C;Conventional</v>
          </cell>
          <cell r="I1335" t="str">
            <v>Unknown- D&amp;C;Conventional;0;9</v>
          </cell>
          <cell r="J1335" t="str">
            <v>BC</v>
          </cell>
          <cell r="K1335" t="str">
            <v>Medium</v>
          </cell>
          <cell r="L1335">
            <v>1</v>
          </cell>
        </row>
        <row r="1336">
          <cell r="A1336">
            <v>10</v>
          </cell>
          <cell r="B1336">
            <v>2000</v>
          </cell>
          <cell r="C1336">
            <v>1</v>
          </cell>
          <cell r="D1336" t="str">
            <v>Production</v>
          </cell>
          <cell r="E1336" t="str">
            <v>Unknown- D&amp;C</v>
          </cell>
          <cell r="F1336" t="str">
            <v>Conventional</v>
          </cell>
          <cell r="G1336">
            <v>0</v>
          </cell>
          <cell r="H1336" t="str">
            <v>Production;Unknown- D&amp;C;Conventional</v>
          </cell>
          <cell r="I1336" t="str">
            <v>Unknown- D&amp;C;Conventional;0;10</v>
          </cell>
          <cell r="J1336" t="str">
            <v>BC</v>
          </cell>
          <cell r="K1336" t="str">
            <v>Deep</v>
          </cell>
          <cell r="L1336">
            <v>2</v>
          </cell>
          <cell r="M1336">
            <v>123</v>
          </cell>
        </row>
        <row r="1337">
          <cell r="A1337">
            <v>10</v>
          </cell>
          <cell r="B1337">
            <v>2000</v>
          </cell>
          <cell r="C1337">
            <v>1</v>
          </cell>
          <cell r="D1337" t="str">
            <v>Production</v>
          </cell>
          <cell r="E1337" t="str">
            <v>Unknown- D&amp;C</v>
          </cell>
          <cell r="F1337" t="str">
            <v>Conventional</v>
          </cell>
          <cell r="G1337">
            <v>0</v>
          </cell>
          <cell r="H1337" t="str">
            <v>Production;Unknown- D&amp;C;Conventional</v>
          </cell>
          <cell r="I1337" t="str">
            <v>Unknown- D&amp;C;Conventional;0;10</v>
          </cell>
          <cell r="J1337" t="str">
            <v>BC</v>
          </cell>
          <cell r="K1337" t="str">
            <v>Medium</v>
          </cell>
          <cell r="L1337">
            <v>1</v>
          </cell>
          <cell r="M1337">
            <v>22</v>
          </cell>
        </row>
        <row r="1338">
          <cell r="A1338">
            <v>10</v>
          </cell>
          <cell r="B1338">
            <v>2000</v>
          </cell>
          <cell r="C1338">
            <v>2</v>
          </cell>
          <cell r="D1338" t="str">
            <v>Production</v>
          </cell>
          <cell r="E1338" t="str">
            <v>Unknown- D&amp;C</v>
          </cell>
          <cell r="F1338" t="str">
            <v>Conventional</v>
          </cell>
          <cell r="G1338">
            <v>0</v>
          </cell>
          <cell r="H1338" t="str">
            <v>Production;Unknown- D&amp;C;Conventional</v>
          </cell>
          <cell r="I1338" t="str">
            <v>Unknown- D&amp;C;Conventional;0;10</v>
          </cell>
          <cell r="J1338" t="str">
            <v>BC</v>
          </cell>
          <cell r="K1338" t="str">
            <v>Medium</v>
          </cell>
          <cell r="L1338">
            <v>1</v>
          </cell>
          <cell r="M1338">
            <v>17</v>
          </cell>
        </row>
        <row r="1339">
          <cell r="A1339">
            <v>10</v>
          </cell>
          <cell r="B1339">
            <v>2001</v>
          </cell>
          <cell r="C1339">
            <v>1</v>
          </cell>
          <cell r="D1339" t="str">
            <v>Production</v>
          </cell>
          <cell r="E1339" t="str">
            <v>Unknown- D&amp;C</v>
          </cell>
          <cell r="F1339" t="str">
            <v>Conventional</v>
          </cell>
          <cell r="G1339">
            <v>0</v>
          </cell>
          <cell r="H1339" t="str">
            <v>Production;Unknown- D&amp;C;Conventional</v>
          </cell>
          <cell r="I1339" t="str">
            <v>Unknown- D&amp;C;Conventional;0;10</v>
          </cell>
          <cell r="J1339" t="str">
            <v>BC</v>
          </cell>
          <cell r="K1339" t="str">
            <v>Deep</v>
          </cell>
          <cell r="L1339">
            <v>3</v>
          </cell>
          <cell r="M1339">
            <v>338</v>
          </cell>
        </row>
        <row r="1340">
          <cell r="A1340">
            <v>10</v>
          </cell>
          <cell r="B1340">
            <v>2002</v>
          </cell>
          <cell r="C1340">
            <v>1</v>
          </cell>
          <cell r="D1340" t="str">
            <v>Production</v>
          </cell>
          <cell r="E1340" t="str">
            <v>Unknown- D&amp;C</v>
          </cell>
          <cell r="F1340" t="str">
            <v>Conventional</v>
          </cell>
          <cell r="G1340">
            <v>0</v>
          </cell>
          <cell r="H1340" t="str">
            <v>Production;Unknown- D&amp;C;Conventional</v>
          </cell>
          <cell r="I1340" t="str">
            <v>Unknown- D&amp;C;Conventional;0;10</v>
          </cell>
          <cell r="J1340" t="str">
            <v>BC</v>
          </cell>
          <cell r="K1340" t="str">
            <v>Deep</v>
          </cell>
          <cell r="L1340">
            <v>3</v>
          </cell>
          <cell r="M1340">
            <v>202</v>
          </cell>
        </row>
        <row r="1341">
          <cell r="A1341">
            <v>10</v>
          </cell>
          <cell r="B1341">
            <v>2002</v>
          </cell>
          <cell r="C1341">
            <v>1</v>
          </cell>
          <cell r="D1341" t="str">
            <v>Production</v>
          </cell>
          <cell r="E1341" t="str">
            <v>Unknown- D&amp;C</v>
          </cell>
          <cell r="F1341" t="str">
            <v>Conventional</v>
          </cell>
          <cell r="G1341">
            <v>0</v>
          </cell>
          <cell r="H1341" t="str">
            <v>Production;Unknown- D&amp;C;Conventional</v>
          </cell>
          <cell r="I1341" t="str">
            <v>Unknown- D&amp;C;Conventional;0;10</v>
          </cell>
          <cell r="J1341" t="str">
            <v>BC</v>
          </cell>
          <cell r="K1341" t="str">
            <v>Medium</v>
          </cell>
          <cell r="L1341">
            <v>4</v>
          </cell>
          <cell r="M1341">
            <v>230</v>
          </cell>
        </row>
        <row r="1342">
          <cell r="A1342">
            <v>10</v>
          </cell>
          <cell r="B1342">
            <v>2002</v>
          </cell>
          <cell r="C1342">
            <v>1</v>
          </cell>
          <cell r="D1342" t="str">
            <v>Production</v>
          </cell>
          <cell r="E1342" t="str">
            <v>Unknown- D&amp;C</v>
          </cell>
          <cell r="F1342" t="str">
            <v>Conventional</v>
          </cell>
          <cell r="G1342">
            <v>0</v>
          </cell>
          <cell r="H1342" t="str">
            <v>Production;Unknown- D&amp;C;Conventional</v>
          </cell>
          <cell r="I1342" t="str">
            <v>Unknown- D&amp;C;Conventional;0;10</v>
          </cell>
          <cell r="J1342" t="str">
            <v>BC</v>
          </cell>
          <cell r="K1342" t="str">
            <v>Shallow</v>
          </cell>
          <cell r="L1342">
            <v>1</v>
          </cell>
          <cell r="M1342">
            <v>12</v>
          </cell>
        </row>
        <row r="1343">
          <cell r="A1343">
            <v>10</v>
          </cell>
          <cell r="B1343">
            <v>2002</v>
          </cell>
          <cell r="C1343">
            <v>2</v>
          </cell>
          <cell r="D1343" t="str">
            <v>Production</v>
          </cell>
          <cell r="E1343" t="str">
            <v>Unknown- D&amp;C</v>
          </cell>
          <cell r="F1343" t="str">
            <v>Conventional</v>
          </cell>
          <cell r="G1343">
            <v>0</v>
          </cell>
          <cell r="H1343" t="str">
            <v>Production;Unknown- D&amp;C;Conventional</v>
          </cell>
          <cell r="I1343" t="str">
            <v>Unknown- D&amp;C;Conventional;0;10</v>
          </cell>
          <cell r="J1343" t="str">
            <v>BC</v>
          </cell>
          <cell r="K1343" t="str">
            <v>Medium</v>
          </cell>
          <cell r="L1343">
            <v>1</v>
          </cell>
          <cell r="M1343">
            <v>16</v>
          </cell>
        </row>
        <row r="1344">
          <cell r="A1344">
            <v>10</v>
          </cell>
          <cell r="B1344">
            <v>2003</v>
          </cell>
          <cell r="C1344">
            <v>1</v>
          </cell>
          <cell r="D1344" t="str">
            <v>Production</v>
          </cell>
          <cell r="E1344" t="str">
            <v>Unknown- D&amp;C</v>
          </cell>
          <cell r="F1344" t="str">
            <v>Conventional</v>
          </cell>
          <cell r="G1344">
            <v>0</v>
          </cell>
          <cell r="H1344" t="str">
            <v>Production;Unknown- D&amp;C;Conventional</v>
          </cell>
          <cell r="I1344" t="str">
            <v>Unknown- D&amp;C;Conventional;0;10</v>
          </cell>
          <cell r="J1344" t="str">
            <v>BC</v>
          </cell>
          <cell r="K1344" t="str">
            <v>Deep</v>
          </cell>
          <cell r="L1344">
            <v>1</v>
          </cell>
          <cell r="M1344">
            <v>65.5</v>
          </cell>
        </row>
        <row r="1345">
          <cell r="A1345">
            <v>10</v>
          </cell>
          <cell r="B1345">
            <v>2003</v>
          </cell>
          <cell r="C1345">
            <v>1</v>
          </cell>
          <cell r="D1345" t="str">
            <v>Production</v>
          </cell>
          <cell r="E1345" t="str">
            <v>Unknown- D&amp;C</v>
          </cell>
          <cell r="F1345" t="str">
            <v>Conventional</v>
          </cell>
          <cell r="G1345">
            <v>0</v>
          </cell>
          <cell r="H1345" t="str">
            <v>Production;Unknown- D&amp;C;Conventional</v>
          </cell>
          <cell r="I1345" t="str">
            <v>Unknown- D&amp;C;Conventional;0;10</v>
          </cell>
          <cell r="J1345" t="str">
            <v>BC</v>
          </cell>
          <cell r="K1345" t="str">
            <v>Medium</v>
          </cell>
          <cell r="L1345">
            <v>1</v>
          </cell>
          <cell r="M1345">
            <v>22</v>
          </cell>
        </row>
        <row r="1346">
          <cell r="A1346">
            <v>10</v>
          </cell>
          <cell r="B1346">
            <v>2004</v>
          </cell>
          <cell r="C1346">
            <v>1</v>
          </cell>
          <cell r="D1346" t="str">
            <v>Production</v>
          </cell>
          <cell r="E1346" t="str">
            <v>Unknown- D&amp;C</v>
          </cell>
          <cell r="F1346" t="str">
            <v>Conventional</v>
          </cell>
          <cell r="G1346">
            <v>0</v>
          </cell>
          <cell r="H1346" t="str">
            <v>Production;Unknown- D&amp;C;Conventional</v>
          </cell>
          <cell r="I1346" t="str">
            <v>Unknown- D&amp;C;Conventional;0;10</v>
          </cell>
          <cell r="J1346" t="str">
            <v>BC</v>
          </cell>
          <cell r="K1346" t="str">
            <v>Deep</v>
          </cell>
          <cell r="L1346">
            <v>2</v>
          </cell>
          <cell r="M1346">
            <v>119</v>
          </cell>
        </row>
        <row r="1347">
          <cell r="A1347">
            <v>10</v>
          </cell>
          <cell r="B1347">
            <v>2004</v>
          </cell>
          <cell r="C1347">
            <v>1</v>
          </cell>
          <cell r="D1347" t="str">
            <v>Production</v>
          </cell>
          <cell r="E1347" t="str">
            <v>Unknown- D&amp;C</v>
          </cell>
          <cell r="F1347" t="str">
            <v>Conventional</v>
          </cell>
          <cell r="G1347">
            <v>0</v>
          </cell>
          <cell r="H1347" t="str">
            <v>Production;Unknown- D&amp;C;Conventional</v>
          </cell>
          <cell r="I1347" t="str">
            <v>Unknown- D&amp;C;Conventional;0;10</v>
          </cell>
          <cell r="J1347" t="str">
            <v>BC</v>
          </cell>
          <cell r="K1347" t="str">
            <v>Medium</v>
          </cell>
          <cell r="L1347">
            <v>2</v>
          </cell>
          <cell r="M1347">
            <v>92</v>
          </cell>
        </row>
        <row r="1348">
          <cell r="A1348">
            <v>10</v>
          </cell>
          <cell r="B1348">
            <v>2004</v>
          </cell>
          <cell r="C1348">
            <v>2</v>
          </cell>
          <cell r="D1348" t="str">
            <v>Production</v>
          </cell>
          <cell r="E1348" t="str">
            <v>Unknown- D&amp;C</v>
          </cell>
          <cell r="F1348" t="str">
            <v>Conventional</v>
          </cell>
          <cell r="G1348">
            <v>0</v>
          </cell>
          <cell r="H1348" t="str">
            <v>Production;Unknown- D&amp;C;Conventional</v>
          </cell>
          <cell r="I1348" t="str">
            <v>Unknown- D&amp;C;Conventional;0;10</v>
          </cell>
          <cell r="J1348" t="str">
            <v>BC</v>
          </cell>
          <cell r="K1348" t="str">
            <v>Deep</v>
          </cell>
          <cell r="L1348">
            <v>2</v>
          </cell>
          <cell r="M1348">
            <v>78</v>
          </cell>
        </row>
        <row r="1349">
          <cell r="A1349">
            <v>10</v>
          </cell>
          <cell r="B1349">
            <v>2004</v>
          </cell>
          <cell r="C1349">
            <v>2</v>
          </cell>
          <cell r="D1349" t="str">
            <v>Production</v>
          </cell>
          <cell r="E1349" t="str">
            <v>Unknown- D&amp;C</v>
          </cell>
          <cell r="F1349" t="str">
            <v>Conventional</v>
          </cell>
          <cell r="G1349">
            <v>0</v>
          </cell>
          <cell r="H1349" t="str">
            <v>Production;Unknown- D&amp;C;Conventional</v>
          </cell>
          <cell r="I1349" t="str">
            <v>Unknown- D&amp;C;Conventional;0;10</v>
          </cell>
          <cell r="J1349" t="str">
            <v>BC</v>
          </cell>
          <cell r="K1349" t="str">
            <v>Medium</v>
          </cell>
          <cell r="L1349">
            <v>2</v>
          </cell>
          <cell r="M1349">
            <v>70</v>
          </cell>
        </row>
        <row r="1350">
          <cell r="A1350">
            <v>10</v>
          </cell>
          <cell r="B1350">
            <v>2005</v>
          </cell>
          <cell r="C1350">
            <v>1</v>
          </cell>
          <cell r="D1350" t="str">
            <v>Production</v>
          </cell>
          <cell r="E1350" t="str">
            <v>Unknown- D&amp;C</v>
          </cell>
          <cell r="F1350" t="str">
            <v>Conventional</v>
          </cell>
          <cell r="G1350">
            <v>0</v>
          </cell>
          <cell r="H1350" t="str">
            <v>Production;Unknown- D&amp;C;Conventional</v>
          </cell>
          <cell r="I1350" t="str">
            <v>Unknown- D&amp;C;Conventional;0;10</v>
          </cell>
          <cell r="J1350" t="str">
            <v>BC</v>
          </cell>
          <cell r="K1350" t="str">
            <v>Deep</v>
          </cell>
          <cell r="L1350">
            <v>2</v>
          </cell>
          <cell r="M1350">
            <v>105</v>
          </cell>
        </row>
        <row r="1351">
          <cell r="A1351">
            <v>10</v>
          </cell>
          <cell r="B1351">
            <v>2005</v>
          </cell>
          <cell r="C1351">
            <v>1</v>
          </cell>
          <cell r="D1351" t="str">
            <v>Production</v>
          </cell>
          <cell r="E1351" t="str">
            <v>Unknown- D&amp;C</v>
          </cell>
          <cell r="F1351" t="str">
            <v>Conventional</v>
          </cell>
          <cell r="G1351">
            <v>0</v>
          </cell>
          <cell r="H1351" t="str">
            <v>Production;Unknown- D&amp;C;Conventional</v>
          </cell>
          <cell r="I1351" t="str">
            <v>Unknown- D&amp;C;Conventional;0;10</v>
          </cell>
          <cell r="J1351" t="str">
            <v>BC</v>
          </cell>
          <cell r="K1351" t="str">
            <v>Medium</v>
          </cell>
          <cell r="L1351">
            <v>11</v>
          </cell>
          <cell r="M1351">
            <v>216</v>
          </cell>
        </row>
        <row r="1352">
          <cell r="A1352">
            <v>10</v>
          </cell>
          <cell r="B1352">
            <v>2005</v>
          </cell>
          <cell r="C1352">
            <v>2</v>
          </cell>
          <cell r="D1352" t="str">
            <v>Production</v>
          </cell>
          <cell r="E1352" t="str">
            <v>Unknown- D&amp;C</v>
          </cell>
          <cell r="F1352" t="str">
            <v>Conventional</v>
          </cell>
          <cell r="G1352">
            <v>0</v>
          </cell>
          <cell r="H1352" t="str">
            <v>Production;Unknown- D&amp;C;Conventional</v>
          </cell>
          <cell r="I1352" t="str">
            <v>Unknown- D&amp;C;Conventional;0;10</v>
          </cell>
          <cell r="J1352" t="str">
            <v>BC</v>
          </cell>
          <cell r="K1352" t="str">
            <v>Deep</v>
          </cell>
          <cell r="L1352">
            <v>1</v>
          </cell>
          <cell r="M1352">
            <v>12</v>
          </cell>
        </row>
        <row r="1353">
          <cell r="A1353">
            <v>10</v>
          </cell>
          <cell r="B1353">
            <v>2005</v>
          </cell>
          <cell r="C1353">
            <v>2</v>
          </cell>
          <cell r="D1353" t="str">
            <v>Production</v>
          </cell>
          <cell r="E1353" t="str">
            <v>Unknown- D&amp;C</v>
          </cell>
          <cell r="F1353" t="str">
            <v>Conventional</v>
          </cell>
          <cell r="G1353">
            <v>0</v>
          </cell>
          <cell r="H1353" t="str">
            <v>Production;Unknown- D&amp;C;Conventional</v>
          </cell>
          <cell r="I1353" t="str">
            <v>Unknown- D&amp;C;Conventional;0;10</v>
          </cell>
          <cell r="J1353" t="str">
            <v>BC</v>
          </cell>
          <cell r="K1353" t="str">
            <v>Medium</v>
          </cell>
          <cell r="L1353">
            <v>1</v>
          </cell>
          <cell r="M1353">
            <v>9</v>
          </cell>
        </row>
        <row r="1354">
          <cell r="A1354">
            <v>10</v>
          </cell>
          <cell r="B1354">
            <v>2005</v>
          </cell>
          <cell r="C1354">
            <v>3</v>
          </cell>
          <cell r="D1354" t="str">
            <v>Production</v>
          </cell>
          <cell r="E1354" t="str">
            <v>Unknown- D&amp;C</v>
          </cell>
          <cell r="F1354" t="str">
            <v>Conventional</v>
          </cell>
          <cell r="G1354">
            <v>0</v>
          </cell>
          <cell r="H1354" t="str">
            <v>Production;Unknown- D&amp;C;Conventional</v>
          </cell>
          <cell r="I1354" t="str">
            <v>Unknown- D&amp;C;Conventional;0;10</v>
          </cell>
          <cell r="J1354" t="str">
            <v>BC</v>
          </cell>
          <cell r="K1354" t="str">
            <v>Deep</v>
          </cell>
          <cell r="L1354">
            <v>1</v>
          </cell>
          <cell r="M1354">
            <v>45</v>
          </cell>
        </row>
        <row r="1355">
          <cell r="A1355">
            <v>10</v>
          </cell>
          <cell r="B1355">
            <v>2006</v>
          </cell>
          <cell r="C1355">
            <v>1</v>
          </cell>
          <cell r="D1355" t="str">
            <v>Production</v>
          </cell>
          <cell r="E1355" t="str">
            <v>Unknown- D&amp;C</v>
          </cell>
          <cell r="F1355" t="str">
            <v>Conventional</v>
          </cell>
          <cell r="G1355">
            <v>0</v>
          </cell>
          <cell r="H1355" t="str">
            <v>Production;Unknown- D&amp;C;Conventional</v>
          </cell>
          <cell r="I1355" t="str">
            <v>Unknown- D&amp;C;Conventional;0;10</v>
          </cell>
          <cell r="J1355" t="str">
            <v>BC</v>
          </cell>
          <cell r="K1355" t="str">
            <v>Deep</v>
          </cell>
          <cell r="L1355">
            <v>12</v>
          </cell>
          <cell r="M1355">
            <v>793</v>
          </cell>
        </row>
        <row r="1356">
          <cell r="A1356">
            <v>10</v>
          </cell>
          <cell r="B1356">
            <v>2006</v>
          </cell>
          <cell r="C1356">
            <v>1</v>
          </cell>
          <cell r="D1356" t="str">
            <v>Production</v>
          </cell>
          <cell r="E1356" t="str">
            <v>Unknown- D&amp;C</v>
          </cell>
          <cell r="F1356" t="str">
            <v>Conventional</v>
          </cell>
          <cell r="G1356">
            <v>0</v>
          </cell>
          <cell r="H1356" t="str">
            <v>Production;Unknown- D&amp;C;Conventional</v>
          </cell>
          <cell r="I1356" t="str">
            <v>Unknown- D&amp;C;Conventional;0;10</v>
          </cell>
          <cell r="J1356" t="str">
            <v>BC</v>
          </cell>
          <cell r="K1356" t="str">
            <v>Medium</v>
          </cell>
          <cell r="L1356">
            <v>23</v>
          </cell>
          <cell r="M1356">
            <v>372.5</v>
          </cell>
        </row>
        <row r="1357">
          <cell r="A1357">
            <v>10</v>
          </cell>
          <cell r="B1357">
            <v>2006</v>
          </cell>
          <cell r="C1357">
            <v>2</v>
          </cell>
          <cell r="D1357" t="str">
            <v>Production</v>
          </cell>
          <cell r="E1357" t="str">
            <v>Unknown- D&amp;C</v>
          </cell>
          <cell r="F1357" t="str">
            <v>Conventional</v>
          </cell>
          <cell r="G1357">
            <v>0</v>
          </cell>
          <cell r="H1357" t="str">
            <v>Production;Unknown- D&amp;C;Conventional</v>
          </cell>
          <cell r="I1357" t="str">
            <v>Unknown- D&amp;C;Conventional;0;10</v>
          </cell>
          <cell r="J1357" t="str">
            <v>BC</v>
          </cell>
          <cell r="K1357" t="str">
            <v>Deep</v>
          </cell>
          <cell r="L1357">
            <v>1</v>
          </cell>
          <cell r="M1357">
            <v>148</v>
          </cell>
        </row>
        <row r="1358">
          <cell r="A1358">
            <v>10</v>
          </cell>
          <cell r="B1358">
            <v>2007</v>
          </cell>
          <cell r="C1358">
            <v>1</v>
          </cell>
          <cell r="D1358" t="str">
            <v>Production</v>
          </cell>
          <cell r="E1358" t="str">
            <v>Unknown- D&amp;C</v>
          </cell>
          <cell r="F1358" t="str">
            <v>Conventional</v>
          </cell>
          <cell r="G1358">
            <v>0</v>
          </cell>
          <cell r="H1358" t="str">
            <v>Production;Unknown- D&amp;C;Conventional</v>
          </cell>
          <cell r="I1358" t="str">
            <v>Unknown- D&amp;C;Conventional;0;10</v>
          </cell>
          <cell r="J1358" t="str">
            <v>BC</v>
          </cell>
          <cell r="K1358" t="str">
            <v>Medium</v>
          </cell>
          <cell r="L1358">
            <v>9</v>
          </cell>
          <cell r="M1358">
            <v>144</v>
          </cell>
        </row>
        <row r="1359">
          <cell r="A1359">
            <v>1</v>
          </cell>
          <cell r="B1359">
            <v>2000</v>
          </cell>
          <cell r="C1359">
            <v>1</v>
          </cell>
          <cell r="D1359" t="str">
            <v>Production</v>
          </cell>
          <cell r="E1359" t="str">
            <v>Unknown- Dry</v>
          </cell>
          <cell r="F1359" t="str">
            <v>Conventional</v>
          </cell>
          <cell r="G1359">
            <v>0</v>
          </cell>
          <cell r="H1359" t="str">
            <v>Production;Unknown- Dry;Conventional</v>
          </cell>
          <cell r="I1359" t="str">
            <v>Unknown- Dry;Conventional;0;1</v>
          </cell>
          <cell r="J1359" t="str">
            <v>AB</v>
          </cell>
          <cell r="K1359" t="str">
            <v>Deep</v>
          </cell>
          <cell r="L1359">
            <v>7</v>
          </cell>
          <cell r="M1359">
            <v>528</v>
          </cell>
        </row>
        <row r="1360">
          <cell r="A1360">
            <v>1</v>
          </cell>
          <cell r="B1360">
            <v>2000</v>
          </cell>
          <cell r="C1360">
            <v>1</v>
          </cell>
          <cell r="D1360" t="str">
            <v>Production</v>
          </cell>
          <cell r="E1360" t="str">
            <v>Unknown- Dry</v>
          </cell>
          <cell r="F1360" t="str">
            <v>Conventional</v>
          </cell>
          <cell r="G1360">
            <v>0</v>
          </cell>
          <cell r="H1360" t="str">
            <v>Production;Unknown- Dry;Conventional</v>
          </cell>
          <cell r="I1360" t="str">
            <v>Unknown- Dry;Conventional;0;1</v>
          </cell>
          <cell r="J1360" t="str">
            <v>AB</v>
          </cell>
          <cell r="K1360" t="str">
            <v>Medium</v>
          </cell>
          <cell r="L1360">
            <v>5</v>
          </cell>
          <cell r="M1360">
            <v>97</v>
          </cell>
        </row>
        <row r="1361">
          <cell r="A1361">
            <v>1</v>
          </cell>
          <cell r="B1361">
            <v>2000</v>
          </cell>
          <cell r="C1361">
            <v>1</v>
          </cell>
          <cell r="D1361" t="str">
            <v>Production</v>
          </cell>
          <cell r="E1361" t="str">
            <v>Unknown- Dry</v>
          </cell>
          <cell r="F1361" t="str">
            <v>Conventional</v>
          </cell>
          <cell r="G1361">
            <v>0</v>
          </cell>
          <cell r="H1361" t="str">
            <v>Production;Unknown- Dry;Conventional</v>
          </cell>
          <cell r="I1361" t="str">
            <v>Unknown- Dry;Conventional;0;1</v>
          </cell>
          <cell r="J1361" t="str">
            <v>AB</v>
          </cell>
          <cell r="K1361" t="str">
            <v>Shallow</v>
          </cell>
          <cell r="L1361">
            <v>2</v>
          </cell>
          <cell r="M1361">
            <v>12</v>
          </cell>
        </row>
        <row r="1362">
          <cell r="A1362">
            <v>1</v>
          </cell>
          <cell r="B1362">
            <v>2000</v>
          </cell>
          <cell r="C1362">
            <v>2</v>
          </cell>
          <cell r="D1362" t="str">
            <v>Production</v>
          </cell>
          <cell r="E1362" t="str">
            <v>Unknown- Dry</v>
          </cell>
          <cell r="F1362" t="str">
            <v>Conventional</v>
          </cell>
          <cell r="G1362">
            <v>0</v>
          </cell>
          <cell r="H1362" t="str">
            <v>Production;Unknown- Dry;Conventional</v>
          </cell>
          <cell r="I1362" t="str">
            <v>Unknown- Dry;Conventional;0;1</v>
          </cell>
          <cell r="J1362" t="str">
            <v>AB</v>
          </cell>
          <cell r="K1362" t="str">
            <v>DEEP</v>
          </cell>
          <cell r="L1362">
            <v>1</v>
          </cell>
          <cell r="M1362">
            <v>63</v>
          </cell>
        </row>
        <row r="1363">
          <cell r="A1363">
            <v>1</v>
          </cell>
          <cell r="B1363">
            <v>2001</v>
          </cell>
          <cell r="C1363">
            <v>1</v>
          </cell>
          <cell r="D1363" t="str">
            <v>Production</v>
          </cell>
          <cell r="E1363" t="str">
            <v>Unknown- Dry</v>
          </cell>
          <cell r="F1363" t="str">
            <v>Conventional</v>
          </cell>
          <cell r="G1363">
            <v>0</v>
          </cell>
          <cell r="H1363" t="str">
            <v>Production;Unknown- Dry;Conventional</v>
          </cell>
          <cell r="I1363" t="str">
            <v>Unknown- Dry;Conventional;0;1</v>
          </cell>
          <cell r="J1363" t="str">
            <v>AB</v>
          </cell>
          <cell r="K1363" t="str">
            <v>Deep</v>
          </cell>
          <cell r="L1363">
            <v>9</v>
          </cell>
          <cell r="M1363">
            <v>758</v>
          </cell>
        </row>
        <row r="1364">
          <cell r="A1364">
            <v>1</v>
          </cell>
          <cell r="B1364">
            <v>2001</v>
          </cell>
          <cell r="C1364">
            <v>1</v>
          </cell>
          <cell r="D1364" t="str">
            <v>Production</v>
          </cell>
          <cell r="E1364" t="str">
            <v>Unknown- Dry</v>
          </cell>
          <cell r="F1364" t="str">
            <v>Conventional</v>
          </cell>
          <cell r="G1364">
            <v>0</v>
          </cell>
          <cell r="H1364" t="str">
            <v>Production;Unknown- Dry;Conventional</v>
          </cell>
          <cell r="I1364" t="str">
            <v>Unknown- Dry;Conventional;0;1</v>
          </cell>
          <cell r="J1364" t="str">
            <v>AB</v>
          </cell>
          <cell r="K1364" t="str">
            <v>Medium</v>
          </cell>
          <cell r="L1364">
            <v>1</v>
          </cell>
          <cell r="M1364">
            <v>29</v>
          </cell>
        </row>
        <row r="1365">
          <cell r="A1365">
            <v>1</v>
          </cell>
          <cell r="B1365">
            <v>2001</v>
          </cell>
          <cell r="C1365">
            <v>1</v>
          </cell>
          <cell r="D1365" t="str">
            <v>Production</v>
          </cell>
          <cell r="E1365" t="str">
            <v>Unknown- Dry</v>
          </cell>
          <cell r="F1365" t="str">
            <v>Conventional</v>
          </cell>
          <cell r="G1365">
            <v>0</v>
          </cell>
          <cell r="H1365" t="str">
            <v>Production;Unknown- Dry;Conventional</v>
          </cell>
          <cell r="I1365" t="str">
            <v>Unknown- Dry;Conventional;0;1</v>
          </cell>
          <cell r="J1365" t="str">
            <v>AB</v>
          </cell>
          <cell r="K1365" t="str">
            <v>Shallow</v>
          </cell>
          <cell r="L1365">
            <v>1</v>
          </cell>
          <cell r="M1365">
            <v>3</v>
          </cell>
        </row>
        <row r="1366">
          <cell r="A1366">
            <v>1</v>
          </cell>
          <cell r="B1366">
            <v>2002</v>
          </cell>
          <cell r="C1366">
            <v>1</v>
          </cell>
          <cell r="D1366" t="str">
            <v>Production</v>
          </cell>
          <cell r="E1366" t="str">
            <v>Unknown- Dry</v>
          </cell>
          <cell r="F1366" t="str">
            <v>Conventional</v>
          </cell>
          <cell r="G1366">
            <v>0</v>
          </cell>
          <cell r="H1366" t="str">
            <v>Production;Unknown- Dry;Conventional</v>
          </cell>
          <cell r="I1366" t="str">
            <v>Unknown- Dry;Conventional;0;1</v>
          </cell>
          <cell r="J1366" t="str">
            <v>AB</v>
          </cell>
          <cell r="K1366" t="str">
            <v>Deep</v>
          </cell>
          <cell r="L1366">
            <v>11</v>
          </cell>
          <cell r="M1366">
            <v>883</v>
          </cell>
        </row>
        <row r="1367">
          <cell r="A1367">
            <v>1</v>
          </cell>
          <cell r="B1367">
            <v>2002</v>
          </cell>
          <cell r="C1367">
            <v>1</v>
          </cell>
          <cell r="D1367" t="str">
            <v>Production</v>
          </cell>
          <cell r="E1367" t="str">
            <v>Unknown- Dry</v>
          </cell>
          <cell r="F1367" t="str">
            <v>Conventional</v>
          </cell>
          <cell r="G1367">
            <v>0</v>
          </cell>
          <cell r="H1367" t="str">
            <v>Production;Unknown- Dry;Conventional</v>
          </cell>
          <cell r="I1367" t="str">
            <v>Unknown- Dry;Conventional;0;1</v>
          </cell>
          <cell r="J1367" t="str">
            <v>AB</v>
          </cell>
          <cell r="K1367" t="str">
            <v>Medium</v>
          </cell>
          <cell r="L1367">
            <v>3</v>
          </cell>
          <cell r="M1367">
            <v>97</v>
          </cell>
        </row>
        <row r="1368">
          <cell r="A1368">
            <v>1</v>
          </cell>
          <cell r="B1368">
            <v>2002</v>
          </cell>
          <cell r="C1368">
            <v>1</v>
          </cell>
          <cell r="D1368" t="str">
            <v>Production</v>
          </cell>
          <cell r="E1368" t="str">
            <v>Unknown- Dry</v>
          </cell>
          <cell r="F1368" t="str">
            <v>Conventional</v>
          </cell>
          <cell r="G1368">
            <v>0</v>
          </cell>
          <cell r="H1368" t="str">
            <v>Production;Unknown- Dry;Conventional</v>
          </cell>
          <cell r="I1368" t="str">
            <v>Unknown- Dry;Conventional;0;1</v>
          </cell>
          <cell r="J1368" t="str">
            <v>AB</v>
          </cell>
          <cell r="K1368" t="str">
            <v>Shallow</v>
          </cell>
          <cell r="L1368">
            <v>2</v>
          </cell>
          <cell r="M1368">
            <v>3</v>
          </cell>
        </row>
        <row r="1369">
          <cell r="A1369">
            <v>1</v>
          </cell>
          <cell r="B1369">
            <v>2002</v>
          </cell>
          <cell r="C1369">
            <v>2</v>
          </cell>
          <cell r="D1369" t="str">
            <v>Production</v>
          </cell>
          <cell r="E1369" t="str">
            <v>Unknown- Dry</v>
          </cell>
          <cell r="F1369" t="str">
            <v>Conventional</v>
          </cell>
          <cell r="G1369">
            <v>0</v>
          </cell>
          <cell r="H1369" t="str">
            <v>Production;Unknown- Dry;Conventional</v>
          </cell>
          <cell r="I1369" t="str">
            <v>Unknown- Dry;Conventional;0;1</v>
          </cell>
          <cell r="J1369" t="str">
            <v>AB</v>
          </cell>
          <cell r="K1369" t="str">
            <v>Deep</v>
          </cell>
          <cell r="L1369">
            <v>1</v>
          </cell>
          <cell r="M1369">
            <v>31</v>
          </cell>
        </row>
        <row r="1370">
          <cell r="A1370">
            <v>1</v>
          </cell>
          <cell r="B1370">
            <v>2003</v>
          </cell>
          <cell r="C1370">
            <v>1</v>
          </cell>
          <cell r="D1370" t="str">
            <v>Production</v>
          </cell>
          <cell r="E1370" t="str">
            <v>Unknown- Dry</v>
          </cell>
          <cell r="F1370" t="str">
            <v>Conventional</v>
          </cell>
          <cell r="G1370">
            <v>0</v>
          </cell>
          <cell r="H1370" t="str">
            <v>Production;Unknown- Dry;Conventional</v>
          </cell>
          <cell r="I1370" t="str">
            <v>Unknown- Dry;Conventional;0;1</v>
          </cell>
          <cell r="J1370" t="str">
            <v>AB</v>
          </cell>
          <cell r="K1370" t="str">
            <v>Deep</v>
          </cell>
          <cell r="L1370">
            <v>12</v>
          </cell>
          <cell r="M1370">
            <v>1063</v>
          </cell>
        </row>
        <row r="1371">
          <cell r="A1371">
            <v>1</v>
          </cell>
          <cell r="B1371">
            <v>2003</v>
          </cell>
          <cell r="C1371">
            <v>1</v>
          </cell>
          <cell r="D1371" t="str">
            <v>Production</v>
          </cell>
          <cell r="E1371" t="str">
            <v>Unknown- Dry</v>
          </cell>
          <cell r="F1371" t="str">
            <v>Conventional</v>
          </cell>
          <cell r="G1371">
            <v>0</v>
          </cell>
          <cell r="H1371" t="str">
            <v>Production;Unknown- Dry;Conventional</v>
          </cell>
          <cell r="I1371" t="str">
            <v>Unknown- Dry;Conventional;0;1</v>
          </cell>
          <cell r="J1371" t="str">
            <v>AB</v>
          </cell>
          <cell r="K1371" t="str">
            <v>Medium</v>
          </cell>
          <cell r="L1371">
            <v>3</v>
          </cell>
          <cell r="M1371">
            <v>274.5</v>
          </cell>
        </row>
        <row r="1372">
          <cell r="A1372">
            <v>1</v>
          </cell>
          <cell r="B1372">
            <v>2004</v>
          </cell>
          <cell r="C1372">
            <v>1</v>
          </cell>
          <cell r="D1372" t="str">
            <v>Production</v>
          </cell>
          <cell r="E1372" t="str">
            <v>Unknown- Dry</v>
          </cell>
          <cell r="F1372" t="str">
            <v>Conventional</v>
          </cell>
          <cell r="G1372">
            <v>0</v>
          </cell>
          <cell r="H1372" t="str">
            <v>Production;Unknown- Dry;Conventional</v>
          </cell>
          <cell r="I1372" t="str">
            <v>Unknown- Dry;Conventional;0;1</v>
          </cell>
          <cell r="J1372" t="str">
            <v>AB</v>
          </cell>
          <cell r="K1372" t="str">
            <v>Deep</v>
          </cell>
          <cell r="L1372">
            <v>6</v>
          </cell>
          <cell r="M1372">
            <v>374</v>
          </cell>
        </row>
        <row r="1373">
          <cell r="A1373">
            <v>1</v>
          </cell>
          <cell r="B1373">
            <v>2004</v>
          </cell>
          <cell r="C1373">
            <v>1</v>
          </cell>
          <cell r="D1373" t="str">
            <v>Production</v>
          </cell>
          <cell r="E1373" t="str">
            <v>Unknown- Dry</v>
          </cell>
          <cell r="F1373" t="str">
            <v>Conventional</v>
          </cell>
          <cell r="G1373">
            <v>0</v>
          </cell>
          <cell r="H1373" t="str">
            <v>Production;Unknown- Dry;Conventional</v>
          </cell>
          <cell r="I1373" t="str">
            <v>Unknown- Dry;Conventional;0;1</v>
          </cell>
          <cell r="J1373" t="str">
            <v>AB</v>
          </cell>
          <cell r="K1373" t="str">
            <v>Medium</v>
          </cell>
          <cell r="L1373">
            <v>5</v>
          </cell>
          <cell r="M1373">
            <v>253.91667000000001</v>
          </cell>
        </row>
        <row r="1374">
          <cell r="A1374">
            <v>1</v>
          </cell>
          <cell r="B1374">
            <v>2004</v>
          </cell>
          <cell r="C1374">
            <v>2</v>
          </cell>
          <cell r="D1374" t="str">
            <v>Production</v>
          </cell>
          <cell r="E1374" t="str">
            <v>Unknown- Dry</v>
          </cell>
          <cell r="F1374" t="str">
            <v>Conventional</v>
          </cell>
          <cell r="G1374">
            <v>0</v>
          </cell>
          <cell r="H1374" t="str">
            <v>Production;Unknown- Dry;Conventional</v>
          </cell>
          <cell r="I1374" t="str">
            <v>Unknown- Dry;Conventional;0;1</v>
          </cell>
          <cell r="J1374" t="str">
            <v>AB</v>
          </cell>
          <cell r="K1374" t="str">
            <v>Deep</v>
          </cell>
          <cell r="L1374">
            <v>1</v>
          </cell>
          <cell r="M1374">
            <v>20</v>
          </cell>
        </row>
        <row r="1375">
          <cell r="A1375">
            <v>1</v>
          </cell>
          <cell r="B1375">
            <v>2005</v>
          </cell>
          <cell r="C1375">
            <v>1</v>
          </cell>
          <cell r="D1375" t="str">
            <v>Production</v>
          </cell>
          <cell r="E1375" t="str">
            <v>Unknown- Dry</v>
          </cell>
          <cell r="F1375" t="str">
            <v>Conventional</v>
          </cell>
          <cell r="G1375">
            <v>0</v>
          </cell>
          <cell r="H1375" t="str">
            <v>Production;Unknown- Dry;Conventional</v>
          </cell>
          <cell r="I1375" t="str">
            <v>Unknown- Dry;Conventional;0;1</v>
          </cell>
          <cell r="J1375" t="str">
            <v>AB</v>
          </cell>
          <cell r="K1375" t="str">
            <v>Deep</v>
          </cell>
          <cell r="L1375">
            <v>7</v>
          </cell>
          <cell r="M1375">
            <v>643</v>
          </cell>
        </row>
        <row r="1376">
          <cell r="A1376">
            <v>1</v>
          </cell>
          <cell r="B1376">
            <v>2005</v>
          </cell>
          <cell r="C1376">
            <v>1</v>
          </cell>
          <cell r="D1376" t="str">
            <v>Production</v>
          </cell>
          <cell r="E1376" t="str">
            <v>Unknown- Dry</v>
          </cell>
          <cell r="F1376" t="str">
            <v>Conventional</v>
          </cell>
          <cell r="G1376">
            <v>0</v>
          </cell>
          <cell r="H1376" t="str">
            <v>Production;Unknown- Dry;Conventional</v>
          </cell>
          <cell r="I1376" t="str">
            <v>Unknown- Dry;Conventional;0;1</v>
          </cell>
          <cell r="J1376" t="str">
            <v>AB</v>
          </cell>
          <cell r="K1376" t="str">
            <v>MEDIUM</v>
          </cell>
          <cell r="L1376">
            <v>3</v>
          </cell>
          <cell r="M1376">
            <v>34</v>
          </cell>
        </row>
        <row r="1377">
          <cell r="A1377">
            <v>1</v>
          </cell>
          <cell r="B1377">
            <v>2005</v>
          </cell>
          <cell r="C1377">
            <v>1</v>
          </cell>
          <cell r="D1377" t="str">
            <v>Production</v>
          </cell>
          <cell r="E1377" t="str">
            <v>Unknown- Dry</v>
          </cell>
          <cell r="F1377" t="str">
            <v>Conventional</v>
          </cell>
          <cell r="G1377">
            <v>0</v>
          </cell>
          <cell r="H1377" t="str">
            <v>Production;Unknown- Dry;Conventional</v>
          </cell>
          <cell r="I1377" t="str">
            <v>Unknown- Dry;Conventional;0;1</v>
          </cell>
          <cell r="J1377" t="str">
            <v>AB</v>
          </cell>
          <cell r="K1377" t="str">
            <v>Shallow</v>
          </cell>
          <cell r="L1377">
            <v>1</v>
          </cell>
          <cell r="M1377">
            <v>4</v>
          </cell>
        </row>
        <row r="1378">
          <cell r="A1378">
            <v>1</v>
          </cell>
          <cell r="B1378">
            <v>2005</v>
          </cell>
          <cell r="C1378">
            <v>3</v>
          </cell>
          <cell r="D1378" t="str">
            <v>Production</v>
          </cell>
          <cell r="E1378" t="str">
            <v>Unknown- Dry</v>
          </cell>
          <cell r="F1378" t="str">
            <v>Conventional</v>
          </cell>
          <cell r="G1378">
            <v>0</v>
          </cell>
          <cell r="H1378" t="str">
            <v>Production;Unknown- Dry;Conventional</v>
          </cell>
          <cell r="I1378" t="str">
            <v>Unknown- Dry;Conventional;0;1</v>
          </cell>
          <cell r="J1378" t="str">
            <v>AB</v>
          </cell>
          <cell r="K1378" t="str">
            <v>Deep</v>
          </cell>
          <cell r="L1378">
            <v>1</v>
          </cell>
          <cell r="M1378">
            <v>53</v>
          </cell>
        </row>
        <row r="1379">
          <cell r="A1379">
            <v>1</v>
          </cell>
          <cell r="B1379">
            <v>2006</v>
          </cell>
          <cell r="C1379">
            <v>1</v>
          </cell>
          <cell r="D1379" t="str">
            <v>Production</v>
          </cell>
          <cell r="E1379" t="str">
            <v>Unknown- Dry</v>
          </cell>
          <cell r="F1379" t="str">
            <v>Conventional</v>
          </cell>
          <cell r="G1379">
            <v>0</v>
          </cell>
          <cell r="H1379" t="str">
            <v>Production;Unknown- Dry;Conventional</v>
          </cell>
          <cell r="I1379" t="str">
            <v>Unknown- Dry;Conventional;0;1</v>
          </cell>
          <cell r="J1379" t="str">
            <v>AB</v>
          </cell>
          <cell r="K1379" t="str">
            <v>Deep</v>
          </cell>
          <cell r="L1379">
            <v>13</v>
          </cell>
          <cell r="M1379">
            <v>1697</v>
          </cell>
        </row>
        <row r="1380">
          <cell r="A1380">
            <v>1</v>
          </cell>
          <cell r="B1380">
            <v>2006</v>
          </cell>
          <cell r="C1380">
            <v>1</v>
          </cell>
          <cell r="D1380" t="str">
            <v>Production</v>
          </cell>
          <cell r="E1380" t="str">
            <v>Unknown- Dry</v>
          </cell>
          <cell r="F1380" t="str">
            <v>Conventional</v>
          </cell>
          <cell r="G1380">
            <v>0</v>
          </cell>
          <cell r="H1380" t="str">
            <v>Production;Unknown- Dry;Conventional</v>
          </cell>
          <cell r="I1380" t="str">
            <v>Unknown- Dry;Conventional;0;1</v>
          </cell>
          <cell r="J1380" t="str">
            <v>AB</v>
          </cell>
          <cell r="K1380" t="str">
            <v>MEDIUM</v>
          </cell>
          <cell r="L1380">
            <v>4</v>
          </cell>
          <cell r="M1380">
            <v>84</v>
          </cell>
        </row>
        <row r="1381">
          <cell r="A1381">
            <v>1</v>
          </cell>
          <cell r="B1381">
            <v>2006</v>
          </cell>
          <cell r="C1381">
            <v>1</v>
          </cell>
          <cell r="D1381" t="str">
            <v>Production</v>
          </cell>
          <cell r="E1381" t="str">
            <v>Unknown- Dry</v>
          </cell>
          <cell r="F1381" t="str">
            <v>Conventional</v>
          </cell>
          <cell r="G1381">
            <v>0</v>
          </cell>
          <cell r="H1381" t="str">
            <v>Production;Unknown- Dry;Conventional</v>
          </cell>
          <cell r="I1381" t="str">
            <v>Unknown- Dry;Conventional;0;1</v>
          </cell>
          <cell r="J1381" t="str">
            <v>AB</v>
          </cell>
          <cell r="K1381" t="str">
            <v>Shallow</v>
          </cell>
          <cell r="L1381">
            <v>1</v>
          </cell>
          <cell r="M1381">
            <v>4</v>
          </cell>
        </row>
        <row r="1382">
          <cell r="A1382">
            <v>1</v>
          </cell>
          <cell r="B1382">
            <v>2006</v>
          </cell>
          <cell r="C1382">
            <v>2</v>
          </cell>
          <cell r="D1382" t="str">
            <v>Production</v>
          </cell>
          <cell r="E1382" t="str">
            <v>Unknown- Dry</v>
          </cell>
          <cell r="F1382" t="str">
            <v>Conventional</v>
          </cell>
          <cell r="G1382">
            <v>0</v>
          </cell>
          <cell r="H1382" t="str">
            <v>Production;Unknown- Dry;Conventional</v>
          </cell>
          <cell r="I1382" t="str">
            <v>Unknown- Dry;Conventional;0;1</v>
          </cell>
          <cell r="J1382" t="str">
            <v>AB</v>
          </cell>
          <cell r="K1382" t="str">
            <v>Deep</v>
          </cell>
          <cell r="L1382">
            <v>3</v>
          </cell>
          <cell r="M1382">
            <v>70</v>
          </cell>
        </row>
        <row r="1383">
          <cell r="A1383">
            <v>1</v>
          </cell>
          <cell r="B1383">
            <v>2007</v>
          </cell>
          <cell r="C1383">
            <v>1</v>
          </cell>
          <cell r="D1383" t="str">
            <v>Production</v>
          </cell>
          <cell r="E1383" t="str">
            <v>Unknown- Dry</v>
          </cell>
          <cell r="F1383" t="str">
            <v>Conventional</v>
          </cell>
          <cell r="G1383">
            <v>0</v>
          </cell>
          <cell r="H1383" t="str">
            <v>Production;Unknown- Dry;Conventional</v>
          </cell>
          <cell r="I1383" t="str">
            <v>Unknown- Dry;Conventional;0;1</v>
          </cell>
          <cell r="J1383" t="str">
            <v>AB</v>
          </cell>
          <cell r="K1383" t="str">
            <v>Deep</v>
          </cell>
          <cell r="L1383">
            <v>4</v>
          </cell>
          <cell r="M1383">
            <v>371</v>
          </cell>
        </row>
        <row r="1384">
          <cell r="A1384">
            <v>1</v>
          </cell>
          <cell r="B1384">
            <v>2007</v>
          </cell>
          <cell r="C1384">
            <v>1</v>
          </cell>
          <cell r="D1384" t="str">
            <v>Production</v>
          </cell>
          <cell r="E1384" t="str">
            <v>Unknown- Dry</v>
          </cell>
          <cell r="F1384" t="str">
            <v>Conventional</v>
          </cell>
          <cell r="G1384">
            <v>0</v>
          </cell>
          <cell r="H1384" t="str">
            <v>Production;Unknown- Dry;Conventional</v>
          </cell>
          <cell r="I1384" t="str">
            <v>Unknown- Dry;Conventional;0;1</v>
          </cell>
          <cell r="J1384" t="str">
            <v>AB</v>
          </cell>
          <cell r="K1384" t="str">
            <v>MEDIUM</v>
          </cell>
          <cell r="L1384">
            <v>1</v>
          </cell>
          <cell r="M1384">
            <v>3</v>
          </cell>
        </row>
        <row r="1385">
          <cell r="A1385">
            <v>1</v>
          </cell>
          <cell r="B1385">
            <v>2007</v>
          </cell>
          <cell r="C1385">
            <v>1</v>
          </cell>
          <cell r="D1385" t="str">
            <v>Production</v>
          </cell>
          <cell r="E1385" t="str">
            <v>Unknown- Dry</v>
          </cell>
          <cell r="F1385" t="str">
            <v>Conventional</v>
          </cell>
          <cell r="G1385">
            <v>0</v>
          </cell>
          <cell r="H1385" t="str">
            <v>Production;Unknown- Dry;Conventional</v>
          </cell>
          <cell r="I1385" t="str">
            <v>Unknown- Dry;Conventional;0;1</v>
          </cell>
          <cell r="J1385" t="str">
            <v>AB</v>
          </cell>
          <cell r="K1385" t="str">
            <v>Shallow</v>
          </cell>
          <cell r="L1385">
            <v>1</v>
          </cell>
          <cell r="M1385">
            <v>56</v>
          </cell>
        </row>
        <row r="1386">
          <cell r="A1386">
            <v>2</v>
          </cell>
          <cell r="B1386">
            <v>2000</v>
          </cell>
          <cell r="C1386">
            <v>1</v>
          </cell>
          <cell r="D1386" t="str">
            <v>Production</v>
          </cell>
          <cell r="E1386" t="str">
            <v>Unknown- Dry</v>
          </cell>
          <cell r="F1386" t="str">
            <v>Conventional</v>
          </cell>
          <cell r="G1386">
            <v>0</v>
          </cell>
          <cell r="H1386" t="str">
            <v>Production;Unknown- Dry;Conventional</v>
          </cell>
          <cell r="I1386" t="str">
            <v>Unknown- Dry;Conventional;0;2</v>
          </cell>
          <cell r="J1386" t="str">
            <v>AB</v>
          </cell>
          <cell r="K1386" t="str">
            <v>Deep</v>
          </cell>
          <cell r="L1386">
            <v>104</v>
          </cell>
          <cell r="M1386">
            <v>3434</v>
          </cell>
        </row>
        <row r="1387">
          <cell r="A1387">
            <v>2</v>
          </cell>
          <cell r="B1387">
            <v>2000</v>
          </cell>
          <cell r="C1387">
            <v>1</v>
          </cell>
          <cell r="D1387" t="str">
            <v>Production</v>
          </cell>
          <cell r="E1387" t="str">
            <v>Unknown- Dry</v>
          </cell>
          <cell r="F1387" t="str">
            <v>Conventional</v>
          </cell>
          <cell r="G1387">
            <v>0</v>
          </cell>
          <cell r="H1387" t="str">
            <v>Production;Unknown- Dry;Conventional</v>
          </cell>
          <cell r="I1387" t="str">
            <v>Unknown- Dry;Conventional;0;2</v>
          </cell>
          <cell r="J1387" t="str">
            <v>AB</v>
          </cell>
          <cell r="K1387" t="str">
            <v>Medium</v>
          </cell>
          <cell r="L1387">
            <v>169</v>
          </cell>
          <cell r="M1387">
            <v>2403.5884919999999</v>
          </cell>
        </row>
        <row r="1388">
          <cell r="A1388">
            <v>2</v>
          </cell>
          <cell r="B1388">
            <v>2000</v>
          </cell>
          <cell r="C1388">
            <v>1</v>
          </cell>
          <cell r="D1388" t="str">
            <v>Production</v>
          </cell>
          <cell r="E1388" t="str">
            <v>Unknown- Dry</v>
          </cell>
          <cell r="F1388" t="str">
            <v>Conventional</v>
          </cell>
          <cell r="G1388">
            <v>0</v>
          </cell>
          <cell r="H1388" t="str">
            <v>Production;Unknown- Dry;Conventional</v>
          </cell>
          <cell r="I1388" t="str">
            <v>Unknown- Dry;Conventional;0;2</v>
          </cell>
          <cell r="J1388" t="str">
            <v>AB</v>
          </cell>
          <cell r="K1388" t="str">
            <v>Shallow</v>
          </cell>
          <cell r="L1388">
            <v>12</v>
          </cell>
          <cell r="M1388">
            <v>66.166667000000004</v>
          </cell>
        </row>
        <row r="1389">
          <cell r="A1389">
            <v>2</v>
          </cell>
          <cell r="B1389">
            <v>2000</v>
          </cell>
          <cell r="C1389">
            <v>2</v>
          </cell>
          <cell r="D1389" t="str">
            <v>Production</v>
          </cell>
          <cell r="E1389" t="str">
            <v>Unknown- Dry</v>
          </cell>
          <cell r="F1389" t="str">
            <v>Conventional</v>
          </cell>
          <cell r="G1389">
            <v>0</v>
          </cell>
          <cell r="H1389" t="str">
            <v>Production;Unknown- Dry;Conventional</v>
          </cell>
          <cell r="I1389" t="str">
            <v>Unknown- Dry;Conventional;0;2</v>
          </cell>
          <cell r="J1389" t="str">
            <v>AB</v>
          </cell>
          <cell r="K1389" t="str">
            <v>Deep</v>
          </cell>
          <cell r="L1389">
            <v>4</v>
          </cell>
          <cell r="M1389">
            <v>77</v>
          </cell>
        </row>
        <row r="1390">
          <cell r="A1390">
            <v>2</v>
          </cell>
          <cell r="B1390">
            <v>2000</v>
          </cell>
          <cell r="C1390">
            <v>2</v>
          </cell>
          <cell r="D1390" t="str">
            <v>Production</v>
          </cell>
          <cell r="E1390" t="str">
            <v>Unknown- Dry</v>
          </cell>
          <cell r="F1390" t="str">
            <v>Conventional</v>
          </cell>
          <cell r="G1390">
            <v>0</v>
          </cell>
          <cell r="H1390" t="str">
            <v>Production;Unknown- Dry;Conventional</v>
          </cell>
          <cell r="I1390" t="str">
            <v>Unknown- Dry;Conventional;0;2</v>
          </cell>
          <cell r="J1390" t="str">
            <v>AB</v>
          </cell>
          <cell r="K1390" t="str">
            <v>Medium</v>
          </cell>
          <cell r="L1390">
            <v>2</v>
          </cell>
          <cell r="M1390">
            <v>29</v>
          </cell>
        </row>
        <row r="1391">
          <cell r="A1391">
            <v>2</v>
          </cell>
          <cell r="B1391">
            <v>2000</v>
          </cell>
          <cell r="C1391">
            <v>2</v>
          </cell>
          <cell r="D1391" t="str">
            <v>Production</v>
          </cell>
          <cell r="E1391" t="str">
            <v>Unknown- Dry</v>
          </cell>
          <cell r="F1391" t="str">
            <v>Conventional</v>
          </cell>
          <cell r="G1391">
            <v>0</v>
          </cell>
          <cell r="H1391" t="str">
            <v>Production;Unknown- Dry;Conventional</v>
          </cell>
          <cell r="I1391" t="str">
            <v>Unknown- Dry;Conventional;0;2</v>
          </cell>
          <cell r="J1391" t="str">
            <v>AB</v>
          </cell>
          <cell r="K1391" t="str">
            <v>Shallow</v>
          </cell>
          <cell r="L1391">
            <v>1</v>
          </cell>
          <cell r="M1391">
            <v>20.66667</v>
          </cell>
        </row>
        <row r="1392">
          <cell r="A1392">
            <v>2</v>
          </cell>
          <cell r="B1392">
            <v>2000</v>
          </cell>
          <cell r="C1392">
            <v>3</v>
          </cell>
          <cell r="D1392" t="str">
            <v>Production</v>
          </cell>
          <cell r="E1392" t="str">
            <v>Unknown- Dry</v>
          </cell>
          <cell r="F1392" t="str">
            <v>Conventional</v>
          </cell>
          <cell r="G1392">
            <v>0</v>
          </cell>
          <cell r="H1392" t="str">
            <v>Production;Unknown- Dry;Conventional</v>
          </cell>
          <cell r="I1392" t="str">
            <v>Unknown- Dry;Conventional;0;2</v>
          </cell>
          <cell r="J1392" t="str">
            <v>AB</v>
          </cell>
          <cell r="K1392" t="str">
            <v>Deep</v>
          </cell>
          <cell r="L1392">
            <v>1</v>
          </cell>
          <cell r="M1392">
            <v>1</v>
          </cell>
        </row>
        <row r="1393">
          <cell r="A1393">
            <v>2</v>
          </cell>
          <cell r="B1393">
            <v>2001</v>
          </cell>
          <cell r="C1393">
            <v>1</v>
          </cell>
          <cell r="D1393" t="str">
            <v>Production</v>
          </cell>
          <cell r="E1393" t="str">
            <v>Unknown- Dry</v>
          </cell>
          <cell r="F1393" t="str">
            <v>Conventional</v>
          </cell>
          <cell r="G1393">
            <v>0</v>
          </cell>
          <cell r="H1393" t="str">
            <v>Production;Unknown- Dry;Conventional</v>
          </cell>
          <cell r="I1393" t="str">
            <v>Unknown- Dry;Conventional;0;2</v>
          </cell>
          <cell r="J1393" t="str">
            <v>AB</v>
          </cell>
          <cell r="K1393" t="str">
            <v>Deep</v>
          </cell>
          <cell r="L1393">
            <v>76</v>
          </cell>
          <cell r="M1393">
            <v>2447.5</v>
          </cell>
        </row>
        <row r="1394">
          <cell r="A1394">
            <v>2</v>
          </cell>
          <cell r="B1394">
            <v>2001</v>
          </cell>
          <cell r="C1394">
            <v>1</v>
          </cell>
          <cell r="D1394" t="str">
            <v>Production</v>
          </cell>
          <cell r="E1394" t="str">
            <v>Unknown- Dry</v>
          </cell>
          <cell r="F1394" t="str">
            <v>Conventional</v>
          </cell>
          <cell r="G1394">
            <v>0</v>
          </cell>
          <cell r="H1394" t="str">
            <v>Production;Unknown- Dry;Conventional</v>
          </cell>
          <cell r="I1394" t="str">
            <v>Unknown- Dry;Conventional;0;2</v>
          </cell>
          <cell r="J1394" t="str">
            <v>AB</v>
          </cell>
          <cell r="K1394" t="str">
            <v>MEDIUM</v>
          </cell>
          <cell r="L1394">
            <v>157</v>
          </cell>
          <cell r="M1394">
            <v>2195</v>
          </cell>
        </row>
        <row r="1395">
          <cell r="A1395">
            <v>2</v>
          </cell>
          <cell r="B1395">
            <v>2001</v>
          </cell>
          <cell r="C1395">
            <v>1</v>
          </cell>
          <cell r="D1395" t="str">
            <v>Production</v>
          </cell>
          <cell r="E1395" t="str">
            <v>Unknown- Dry</v>
          </cell>
          <cell r="F1395" t="str">
            <v>Conventional</v>
          </cell>
          <cell r="G1395">
            <v>0</v>
          </cell>
          <cell r="H1395" t="str">
            <v>Production;Unknown- Dry;Conventional</v>
          </cell>
          <cell r="I1395" t="str">
            <v>Unknown- Dry;Conventional;0;2</v>
          </cell>
          <cell r="J1395" t="str">
            <v>AB</v>
          </cell>
          <cell r="K1395" t="str">
            <v>Shallow</v>
          </cell>
          <cell r="L1395">
            <v>28</v>
          </cell>
          <cell r="M1395">
            <v>141.75</v>
          </cell>
        </row>
        <row r="1396">
          <cell r="A1396">
            <v>2</v>
          </cell>
          <cell r="B1396">
            <v>2001</v>
          </cell>
          <cell r="C1396">
            <v>2</v>
          </cell>
          <cell r="D1396" t="str">
            <v>Production</v>
          </cell>
          <cell r="E1396" t="str">
            <v>Unknown- Dry</v>
          </cell>
          <cell r="F1396" t="str">
            <v>Conventional</v>
          </cell>
          <cell r="G1396">
            <v>0</v>
          </cell>
          <cell r="H1396" t="str">
            <v>Production;Unknown- Dry;Conventional</v>
          </cell>
          <cell r="I1396" t="str">
            <v>Unknown- Dry;Conventional;0;2</v>
          </cell>
          <cell r="J1396" t="str">
            <v>AB</v>
          </cell>
          <cell r="K1396" t="str">
            <v>Deep</v>
          </cell>
          <cell r="L1396">
            <v>5</v>
          </cell>
          <cell r="M1396">
            <v>111</v>
          </cell>
        </row>
        <row r="1397">
          <cell r="A1397">
            <v>2</v>
          </cell>
          <cell r="B1397">
            <v>2002</v>
          </cell>
          <cell r="C1397">
            <v>1</v>
          </cell>
          <cell r="D1397" t="str">
            <v>Production</v>
          </cell>
          <cell r="E1397" t="str">
            <v>Unknown- Dry</v>
          </cell>
          <cell r="F1397" t="str">
            <v>Conventional</v>
          </cell>
          <cell r="G1397">
            <v>0</v>
          </cell>
          <cell r="H1397" t="str">
            <v>Production;Unknown- Dry;Conventional</v>
          </cell>
          <cell r="I1397" t="str">
            <v>Unknown- Dry;Conventional;0;2</v>
          </cell>
          <cell r="J1397" t="str">
            <v>AB</v>
          </cell>
          <cell r="K1397" t="str">
            <v>Deep</v>
          </cell>
          <cell r="L1397">
            <v>65</v>
          </cell>
          <cell r="M1397">
            <v>2082.5</v>
          </cell>
        </row>
        <row r="1398">
          <cell r="A1398">
            <v>2</v>
          </cell>
          <cell r="B1398">
            <v>2002</v>
          </cell>
          <cell r="C1398">
            <v>1</v>
          </cell>
          <cell r="D1398" t="str">
            <v>Production</v>
          </cell>
          <cell r="E1398" t="str">
            <v>Unknown- Dry</v>
          </cell>
          <cell r="F1398" t="str">
            <v>Conventional</v>
          </cell>
          <cell r="G1398">
            <v>0</v>
          </cell>
          <cell r="H1398" t="str">
            <v>Production;Unknown- Dry;Conventional</v>
          </cell>
          <cell r="I1398" t="str">
            <v>Unknown- Dry;Conventional;0;2</v>
          </cell>
          <cell r="J1398" t="str">
            <v>AB</v>
          </cell>
          <cell r="K1398" t="str">
            <v>Medium</v>
          </cell>
          <cell r="L1398">
            <v>108</v>
          </cell>
          <cell r="M1398">
            <v>1595.5</v>
          </cell>
        </row>
        <row r="1399">
          <cell r="A1399">
            <v>2</v>
          </cell>
          <cell r="B1399">
            <v>2002</v>
          </cell>
          <cell r="C1399">
            <v>1</v>
          </cell>
          <cell r="D1399" t="str">
            <v>Production</v>
          </cell>
          <cell r="E1399" t="str">
            <v>Unknown- Dry</v>
          </cell>
          <cell r="F1399" t="str">
            <v>Conventional</v>
          </cell>
          <cell r="G1399">
            <v>0</v>
          </cell>
          <cell r="H1399" t="str">
            <v>Production;Unknown- Dry;Conventional</v>
          </cell>
          <cell r="I1399" t="str">
            <v>Unknown- Dry;Conventional;0;2</v>
          </cell>
          <cell r="J1399" t="str">
            <v>AB</v>
          </cell>
          <cell r="K1399" t="str">
            <v>SHALLOW</v>
          </cell>
          <cell r="L1399">
            <v>11</v>
          </cell>
          <cell r="M1399">
            <v>312.33333299999998</v>
          </cell>
        </row>
        <row r="1400">
          <cell r="A1400">
            <v>2</v>
          </cell>
          <cell r="B1400">
            <v>2002</v>
          </cell>
          <cell r="C1400">
            <v>2</v>
          </cell>
          <cell r="D1400" t="str">
            <v>Production</v>
          </cell>
          <cell r="E1400" t="str">
            <v>Unknown- Dry</v>
          </cell>
          <cell r="F1400" t="str">
            <v>Conventional</v>
          </cell>
          <cell r="G1400">
            <v>0</v>
          </cell>
          <cell r="H1400" t="str">
            <v>Production;Unknown- Dry;Conventional</v>
          </cell>
          <cell r="I1400" t="str">
            <v>Unknown- Dry;Conventional;0;2</v>
          </cell>
          <cell r="J1400" t="str">
            <v>AB</v>
          </cell>
          <cell r="K1400" t="str">
            <v>Deep</v>
          </cell>
          <cell r="L1400">
            <v>2</v>
          </cell>
          <cell r="M1400">
            <v>48</v>
          </cell>
        </row>
        <row r="1401">
          <cell r="A1401">
            <v>2</v>
          </cell>
          <cell r="B1401">
            <v>2002</v>
          </cell>
          <cell r="C1401">
            <v>2</v>
          </cell>
          <cell r="D1401" t="str">
            <v>Production</v>
          </cell>
          <cell r="E1401" t="str">
            <v>Unknown- Dry</v>
          </cell>
          <cell r="F1401" t="str">
            <v>Conventional</v>
          </cell>
          <cell r="G1401">
            <v>0</v>
          </cell>
          <cell r="H1401" t="str">
            <v>Production;Unknown- Dry;Conventional</v>
          </cell>
          <cell r="I1401" t="str">
            <v>Unknown- Dry;Conventional;0;2</v>
          </cell>
          <cell r="J1401" t="str">
            <v>AB</v>
          </cell>
          <cell r="K1401" t="str">
            <v>MEDIUM</v>
          </cell>
          <cell r="L1401">
            <v>1</v>
          </cell>
          <cell r="M1401">
            <v>3.5</v>
          </cell>
        </row>
        <row r="1402">
          <cell r="A1402">
            <v>2</v>
          </cell>
          <cell r="B1402">
            <v>2003</v>
          </cell>
          <cell r="C1402">
            <v>1</v>
          </cell>
          <cell r="D1402" t="str">
            <v>Production</v>
          </cell>
          <cell r="E1402" t="str">
            <v>Unknown- Dry</v>
          </cell>
          <cell r="F1402" t="str">
            <v>Conventional</v>
          </cell>
          <cell r="G1402">
            <v>0</v>
          </cell>
          <cell r="H1402" t="str">
            <v>Production;Unknown- Dry;Conventional</v>
          </cell>
          <cell r="I1402" t="str">
            <v>Unknown- Dry;Conventional;0;2</v>
          </cell>
          <cell r="J1402" t="str">
            <v>AB</v>
          </cell>
          <cell r="K1402" t="str">
            <v>Deep</v>
          </cell>
          <cell r="L1402">
            <v>70</v>
          </cell>
          <cell r="M1402">
            <v>1717.5</v>
          </cell>
        </row>
        <row r="1403">
          <cell r="A1403">
            <v>2</v>
          </cell>
          <cell r="B1403">
            <v>2003</v>
          </cell>
          <cell r="C1403">
            <v>1</v>
          </cell>
          <cell r="D1403" t="str">
            <v>Production</v>
          </cell>
          <cell r="E1403" t="str">
            <v>Unknown- Dry</v>
          </cell>
          <cell r="F1403" t="str">
            <v>Conventional</v>
          </cell>
          <cell r="G1403">
            <v>0</v>
          </cell>
          <cell r="H1403" t="str">
            <v>Production;Unknown- Dry;Conventional</v>
          </cell>
          <cell r="I1403" t="str">
            <v>Unknown- Dry;Conventional;0;2</v>
          </cell>
          <cell r="J1403" t="str">
            <v>AB</v>
          </cell>
          <cell r="K1403" t="str">
            <v>Medium</v>
          </cell>
          <cell r="L1403">
            <v>114</v>
          </cell>
          <cell r="M1403">
            <v>1555.5</v>
          </cell>
        </row>
        <row r="1404">
          <cell r="A1404">
            <v>2</v>
          </cell>
          <cell r="B1404">
            <v>2003</v>
          </cell>
          <cell r="C1404">
            <v>1</v>
          </cell>
          <cell r="D1404" t="str">
            <v>Production</v>
          </cell>
          <cell r="E1404" t="str">
            <v>Unknown- Dry</v>
          </cell>
          <cell r="F1404" t="str">
            <v>Conventional</v>
          </cell>
          <cell r="G1404">
            <v>0</v>
          </cell>
          <cell r="H1404" t="str">
            <v>Production;Unknown- Dry;Conventional</v>
          </cell>
          <cell r="I1404" t="str">
            <v>Unknown- Dry;Conventional;0;2</v>
          </cell>
          <cell r="J1404" t="str">
            <v>AB</v>
          </cell>
          <cell r="K1404" t="str">
            <v>Shallow</v>
          </cell>
          <cell r="L1404">
            <v>14</v>
          </cell>
          <cell r="M1404">
            <v>77.5</v>
          </cell>
        </row>
        <row r="1405">
          <cell r="A1405">
            <v>2</v>
          </cell>
          <cell r="B1405">
            <v>2003</v>
          </cell>
          <cell r="C1405">
            <v>2</v>
          </cell>
          <cell r="D1405" t="str">
            <v>Production</v>
          </cell>
          <cell r="E1405" t="str">
            <v>Unknown- Dry</v>
          </cell>
          <cell r="F1405" t="str">
            <v>Conventional</v>
          </cell>
          <cell r="G1405">
            <v>0</v>
          </cell>
          <cell r="H1405" t="str">
            <v>Production;Unknown- Dry;Conventional</v>
          </cell>
          <cell r="I1405" t="str">
            <v>Unknown- Dry;Conventional;0;2</v>
          </cell>
          <cell r="J1405" t="str">
            <v>AB</v>
          </cell>
          <cell r="K1405" t="str">
            <v>Deep</v>
          </cell>
          <cell r="L1405">
            <v>1</v>
          </cell>
          <cell r="M1405">
            <v>15</v>
          </cell>
        </row>
        <row r="1406">
          <cell r="A1406">
            <v>2</v>
          </cell>
          <cell r="B1406">
            <v>2003</v>
          </cell>
          <cell r="C1406">
            <v>2</v>
          </cell>
          <cell r="D1406" t="str">
            <v>Production</v>
          </cell>
          <cell r="E1406" t="str">
            <v>Unknown- Dry</v>
          </cell>
          <cell r="F1406" t="str">
            <v>Conventional</v>
          </cell>
          <cell r="G1406">
            <v>0</v>
          </cell>
          <cell r="H1406" t="str">
            <v>Production;Unknown- Dry;Conventional</v>
          </cell>
          <cell r="I1406" t="str">
            <v>Unknown- Dry;Conventional;0;2</v>
          </cell>
          <cell r="J1406" t="str">
            <v>AB</v>
          </cell>
          <cell r="K1406" t="str">
            <v>Medium</v>
          </cell>
          <cell r="L1406">
            <v>2</v>
          </cell>
          <cell r="M1406">
            <v>17</v>
          </cell>
        </row>
        <row r="1407">
          <cell r="A1407">
            <v>2</v>
          </cell>
          <cell r="B1407">
            <v>2004</v>
          </cell>
          <cell r="C1407">
            <v>1</v>
          </cell>
          <cell r="D1407" t="str">
            <v>Production</v>
          </cell>
          <cell r="E1407" t="str">
            <v>Unknown- Dry</v>
          </cell>
          <cell r="F1407" t="str">
            <v>Conventional</v>
          </cell>
          <cell r="G1407">
            <v>0</v>
          </cell>
          <cell r="H1407" t="str">
            <v>Production;Unknown- Dry;Conventional</v>
          </cell>
          <cell r="I1407" t="str">
            <v>Unknown- Dry;Conventional;0;2</v>
          </cell>
          <cell r="J1407" t="str">
            <v>AB</v>
          </cell>
          <cell r="K1407" t="str">
            <v>Deep</v>
          </cell>
          <cell r="L1407">
            <v>52</v>
          </cell>
          <cell r="M1407">
            <v>1327</v>
          </cell>
        </row>
        <row r="1408">
          <cell r="A1408">
            <v>2</v>
          </cell>
          <cell r="B1408">
            <v>2004</v>
          </cell>
          <cell r="C1408">
            <v>1</v>
          </cell>
          <cell r="D1408" t="str">
            <v>Production</v>
          </cell>
          <cell r="E1408" t="str">
            <v>Unknown- Dry</v>
          </cell>
          <cell r="F1408" t="str">
            <v>Conventional</v>
          </cell>
          <cell r="G1408">
            <v>0</v>
          </cell>
          <cell r="H1408" t="str">
            <v>Production;Unknown- Dry;Conventional</v>
          </cell>
          <cell r="I1408" t="str">
            <v>Unknown- Dry;Conventional;0;2</v>
          </cell>
          <cell r="J1408" t="str">
            <v>AB</v>
          </cell>
          <cell r="K1408" t="str">
            <v>Medium</v>
          </cell>
          <cell r="L1408">
            <v>110</v>
          </cell>
          <cell r="M1408">
            <v>1398</v>
          </cell>
        </row>
        <row r="1409">
          <cell r="A1409">
            <v>2</v>
          </cell>
          <cell r="B1409">
            <v>2004</v>
          </cell>
          <cell r="C1409">
            <v>1</v>
          </cell>
          <cell r="D1409" t="str">
            <v>Production</v>
          </cell>
          <cell r="E1409" t="str">
            <v>Unknown- Dry</v>
          </cell>
          <cell r="F1409" t="str">
            <v>Conventional</v>
          </cell>
          <cell r="G1409">
            <v>0</v>
          </cell>
          <cell r="H1409" t="str">
            <v>Production;Unknown- Dry;Conventional</v>
          </cell>
          <cell r="I1409" t="str">
            <v>Unknown- Dry;Conventional;0;2</v>
          </cell>
          <cell r="J1409" t="str">
            <v>AB</v>
          </cell>
          <cell r="K1409" t="str">
            <v>Shallow</v>
          </cell>
          <cell r="L1409">
            <v>10</v>
          </cell>
          <cell r="M1409">
            <v>54</v>
          </cell>
        </row>
        <row r="1410">
          <cell r="A1410">
            <v>2</v>
          </cell>
          <cell r="B1410">
            <v>2004</v>
          </cell>
          <cell r="C1410">
            <v>2</v>
          </cell>
          <cell r="D1410" t="str">
            <v>Production</v>
          </cell>
          <cell r="E1410" t="str">
            <v>Unknown- Dry</v>
          </cell>
          <cell r="F1410" t="str">
            <v>Conventional</v>
          </cell>
          <cell r="G1410">
            <v>0</v>
          </cell>
          <cell r="H1410" t="str">
            <v>Production;Unknown- Dry;Conventional</v>
          </cell>
          <cell r="I1410" t="str">
            <v>Unknown- Dry;Conventional;0;2</v>
          </cell>
          <cell r="J1410" t="str">
            <v>AB</v>
          </cell>
          <cell r="K1410" t="str">
            <v>Deep</v>
          </cell>
          <cell r="L1410">
            <v>5</v>
          </cell>
          <cell r="M1410">
            <v>226</v>
          </cell>
        </row>
        <row r="1411">
          <cell r="A1411">
            <v>2</v>
          </cell>
          <cell r="B1411">
            <v>2004</v>
          </cell>
          <cell r="C1411">
            <v>2</v>
          </cell>
          <cell r="D1411" t="str">
            <v>Production</v>
          </cell>
          <cell r="E1411" t="str">
            <v>Unknown- Dry</v>
          </cell>
          <cell r="F1411" t="str">
            <v>Conventional</v>
          </cell>
          <cell r="G1411">
            <v>0</v>
          </cell>
          <cell r="H1411" t="str">
            <v>Production;Unknown- Dry;Conventional</v>
          </cell>
          <cell r="I1411" t="str">
            <v>Unknown- Dry;Conventional;0;2</v>
          </cell>
          <cell r="J1411" t="str">
            <v>AB</v>
          </cell>
          <cell r="K1411" t="str">
            <v>Medium</v>
          </cell>
          <cell r="L1411">
            <v>2</v>
          </cell>
          <cell r="M1411">
            <v>10</v>
          </cell>
        </row>
        <row r="1412">
          <cell r="A1412">
            <v>2</v>
          </cell>
          <cell r="B1412">
            <v>2004</v>
          </cell>
          <cell r="C1412">
            <v>3</v>
          </cell>
          <cell r="D1412" t="str">
            <v>Production</v>
          </cell>
          <cell r="E1412" t="str">
            <v>Unknown- Dry</v>
          </cell>
          <cell r="F1412" t="str">
            <v>Conventional</v>
          </cell>
          <cell r="G1412">
            <v>0</v>
          </cell>
          <cell r="H1412" t="str">
            <v>Production;Unknown- Dry;Conventional</v>
          </cell>
          <cell r="I1412" t="str">
            <v>Unknown- Dry;Conventional;0;2</v>
          </cell>
          <cell r="J1412" t="str">
            <v>AB</v>
          </cell>
          <cell r="K1412" t="str">
            <v>Deep</v>
          </cell>
          <cell r="L1412">
            <v>1</v>
          </cell>
          <cell r="M1412">
            <v>44</v>
          </cell>
        </row>
        <row r="1413">
          <cell r="A1413">
            <v>2</v>
          </cell>
          <cell r="B1413">
            <v>2004</v>
          </cell>
          <cell r="C1413">
            <v>4</v>
          </cell>
          <cell r="D1413" t="str">
            <v>Production</v>
          </cell>
          <cell r="E1413" t="str">
            <v>Unknown- Dry</v>
          </cell>
          <cell r="F1413" t="str">
            <v>Conventional</v>
          </cell>
          <cell r="G1413">
            <v>0</v>
          </cell>
          <cell r="H1413" t="str">
            <v>Production;Unknown- Dry;Conventional</v>
          </cell>
          <cell r="I1413" t="str">
            <v>Unknown- Dry;Conventional;0;2</v>
          </cell>
          <cell r="J1413" t="str">
            <v>AB</v>
          </cell>
          <cell r="K1413" t="str">
            <v>Shallow</v>
          </cell>
          <cell r="L1413">
            <v>1</v>
          </cell>
          <cell r="M1413">
            <v>6.5</v>
          </cell>
        </row>
        <row r="1414">
          <cell r="A1414">
            <v>2</v>
          </cell>
          <cell r="B1414">
            <v>2005</v>
          </cell>
          <cell r="C1414">
            <v>1</v>
          </cell>
          <cell r="D1414" t="str">
            <v>Production</v>
          </cell>
          <cell r="E1414" t="str">
            <v>Unknown- Dry</v>
          </cell>
          <cell r="F1414" t="str">
            <v>Conventional</v>
          </cell>
          <cell r="G1414">
            <v>0</v>
          </cell>
          <cell r="H1414" t="str">
            <v>Production;Unknown- Dry;Conventional</v>
          </cell>
          <cell r="I1414" t="str">
            <v>Unknown- Dry;Conventional;0;2</v>
          </cell>
          <cell r="J1414" t="str">
            <v>AB</v>
          </cell>
          <cell r="K1414" t="str">
            <v>Deep</v>
          </cell>
          <cell r="L1414">
            <v>62</v>
          </cell>
          <cell r="M1414">
            <v>1862.5</v>
          </cell>
        </row>
        <row r="1415">
          <cell r="A1415">
            <v>2</v>
          </cell>
          <cell r="B1415">
            <v>2005</v>
          </cell>
          <cell r="C1415">
            <v>1</v>
          </cell>
          <cell r="D1415" t="str">
            <v>Production</v>
          </cell>
          <cell r="E1415" t="str">
            <v>Unknown- Dry</v>
          </cell>
          <cell r="F1415" t="str">
            <v>Conventional</v>
          </cell>
          <cell r="G1415">
            <v>0</v>
          </cell>
          <cell r="H1415" t="str">
            <v>Production;Unknown- Dry;Conventional</v>
          </cell>
          <cell r="I1415" t="str">
            <v>Unknown- Dry;Conventional;0;2</v>
          </cell>
          <cell r="J1415" t="str">
            <v>AB</v>
          </cell>
          <cell r="K1415" t="str">
            <v>Medium</v>
          </cell>
          <cell r="L1415">
            <v>107</v>
          </cell>
          <cell r="M1415">
            <v>1496.333333</v>
          </cell>
        </row>
        <row r="1416">
          <cell r="A1416">
            <v>2</v>
          </cell>
          <cell r="B1416">
            <v>2005</v>
          </cell>
          <cell r="C1416">
            <v>1</v>
          </cell>
          <cell r="D1416" t="str">
            <v>Production</v>
          </cell>
          <cell r="E1416" t="str">
            <v>Unknown- Dry</v>
          </cell>
          <cell r="F1416" t="str">
            <v>Conventional</v>
          </cell>
          <cell r="G1416">
            <v>0</v>
          </cell>
          <cell r="H1416" t="str">
            <v>Production;Unknown- Dry;Conventional</v>
          </cell>
          <cell r="I1416" t="str">
            <v>Unknown- Dry;Conventional;0;2</v>
          </cell>
          <cell r="J1416" t="str">
            <v>AB</v>
          </cell>
          <cell r="K1416" t="str">
            <v>Shallow</v>
          </cell>
          <cell r="L1416">
            <v>25</v>
          </cell>
          <cell r="M1416">
            <v>104.66666600000001</v>
          </cell>
        </row>
        <row r="1417">
          <cell r="A1417">
            <v>2</v>
          </cell>
          <cell r="B1417">
            <v>2005</v>
          </cell>
          <cell r="C1417">
            <v>2</v>
          </cell>
          <cell r="D1417" t="str">
            <v>Production</v>
          </cell>
          <cell r="E1417" t="str">
            <v>Unknown- Dry</v>
          </cell>
          <cell r="F1417" t="str">
            <v>Conventional</v>
          </cell>
          <cell r="G1417">
            <v>0</v>
          </cell>
          <cell r="H1417" t="str">
            <v>Production;Unknown- Dry;Conventional</v>
          </cell>
          <cell r="I1417" t="str">
            <v>Unknown- Dry;Conventional;0;2</v>
          </cell>
          <cell r="J1417" t="str">
            <v>AB</v>
          </cell>
          <cell r="K1417" t="str">
            <v>Deep</v>
          </cell>
          <cell r="L1417">
            <v>4</v>
          </cell>
          <cell r="M1417">
            <v>85</v>
          </cell>
        </row>
        <row r="1418">
          <cell r="A1418">
            <v>2</v>
          </cell>
          <cell r="B1418">
            <v>2005</v>
          </cell>
          <cell r="C1418">
            <v>2</v>
          </cell>
          <cell r="D1418" t="str">
            <v>Production</v>
          </cell>
          <cell r="E1418" t="str">
            <v>Unknown- Dry</v>
          </cell>
          <cell r="F1418" t="str">
            <v>Conventional</v>
          </cell>
          <cell r="G1418">
            <v>0</v>
          </cell>
          <cell r="H1418" t="str">
            <v>Production;Unknown- Dry;Conventional</v>
          </cell>
          <cell r="I1418" t="str">
            <v>Unknown- Dry;Conventional;0;2</v>
          </cell>
          <cell r="J1418" t="str">
            <v>AB</v>
          </cell>
          <cell r="K1418" t="str">
            <v>Medium</v>
          </cell>
          <cell r="L1418">
            <v>3</v>
          </cell>
          <cell r="M1418">
            <v>17</v>
          </cell>
        </row>
        <row r="1419">
          <cell r="A1419">
            <v>2</v>
          </cell>
          <cell r="B1419">
            <v>2006</v>
          </cell>
          <cell r="C1419">
            <v>1</v>
          </cell>
          <cell r="D1419" t="str">
            <v>Production</v>
          </cell>
          <cell r="E1419" t="str">
            <v>Unknown- Dry</v>
          </cell>
          <cell r="F1419" t="str">
            <v>Conventional</v>
          </cell>
          <cell r="G1419">
            <v>0</v>
          </cell>
          <cell r="H1419" t="str">
            <v>Production;Unknown- Dry;Conventional</v>
          </cell>
          <cell r="I1419" t="str">
            <v>Unknown- Dry;Conventional;0;2</v>
          </cell>
          <cell r="J1419" t="str">
            <v>AB</v>
          </cell>
          <cell r="K1419" t="str">
            <v>Deep</v>
          </cell>
          <cell r="L1419">
            <v>56</v>
          </cell>
          <cell r="M1419">
            <v>1802</v>
          </cell>
        </row>
        <row r="1420">
          <cell r="A1420">
            <v>2</v>
          </cell>
          <cell r="B1420">
            <v>2006</v>
          </cell>
          <cell r="C1420">
            <v>1</v>
          </cell>
          <cell r="D1420" t="str">
            <v>Production</v>
          </cell>
          <cell r="E1420" t="str">
            <v>Unknown- Dry</v>
          </cell>
          <cell r="F1420" t="str">
            <v>Conventional</v>
          </cell>
          <cell r="G1420">
            <v>0</v>
          </cell>
          <cell r="H1420" t="str">
            <v>Production;Unknown- Dry;Conventional</v>
          </cell>
          <cell r="I1420" t="str">
            <v>Unknown- Dry;Conventional;0;2</v>
          </cell>
          <cell r="J1420" t="str">
            <v>AB</v>
          </cell>
          <cell r="K1420" t="str">
            <v>Medium</v>
          </cell>
          <cell r="L1420">
            <v>99</v>
          </cell>
          <cell r="M1420">
            <v>1249</v>
          </cell>
        </row>
        <row r="1421">
          <cell r="A1421">
            <v>2</v>
          </cell>
          <cell r="B1421">
            <v>2006</v>
          </cell>
          <cell r="C1421">
            <v>1</v>
          </cell>
          <cell r="D1421" t="str">
            <v>Production</v>
          </cell>
          <cell r="E1421" t="str">
            <v>Unknown- Dry</v>
          </cell>
          <cell r="F1421" t="str">
            <v>Conventional</v>
          </cell>
          <cell r="G1421">
            <v>0</v>
          </cell>
          <cell r="H1421" t="str">
            <v>Production;Unknown- Dry;Conventional</v>
          </cell>
          <cell r="I1421" t="str">
            <v>Unknown- Dry;Conventional;0;2</v>
          </cell>
          <cell r="J1421" t="str">
            <v>AB</v>
          </cell>
          <cell r="K1421" t="str">
            <v>Shallow</v>
          </cell>
          <cell r="L1421">
            <v>11</v>
          </cell>
          <cell r="M1421">
            <v>96.5</v>
          </cell>
        </row>
        <row r="1422">
          <cell r="A1422">
            <v>2</v>
          </cell>
          <cell r="B1422">
            <v>2006</v>
          </cell>
          <cell r="C1422">
            <v>2</v>
          </cell>
          <cell r="D1422" t="str">
            <v>Production</v>
          </cell>
          <cell r="E1422" t="str">
            <v>Unknown- Dry</v>
          </cell>
          <cell r="F1422" t="str">
            <v>Conventional</v>
          </cell>
          <cell r="G1422">
            <v>0</v>
          </cell>
          <cell r="H1422" t="str">
            <v>Production;Unknown- Dry;Conventional</v>
          </cell>
          <cell r="I1422" t="str">
            <v>Unknown- Dry;Conventional;0;2</v>
          </cell>
          <cell r="J1422" t="str">
            <v>AB</v>
          </cell>
          <cell r="K1422" t="str">
            <v>Medium</v>
          </cell>
          <cell r="L1422">
            <v>2</v>
          </cell>
          <cell r="M1422">
            <v>35</v>
          </cell>
        </row>
        <row r="1423">
          <cell r="A1423">
            <v>2</v>
          </cell>
          <cell r="B1423">
            <v>2007</v>
          </cell>
          <cell r="C1423">
            <v>1</v>
          </cell>
          <cell r="D1423" t="str">
            <v>Production</v>
          </cell>
          <cell r="E1423" t="str">
            <v>Unknown- Dry</v>
          </cell>
          <cell r="F1423" t="str">
            <v>Conventional</v>
          </cell>
          <cell r="G1423">
            <v>0</v>
          </cell>
          <cell r="H1423" t="str">
            <v>Production;Unknown- Dry;Conventional</v>
          </cell>
          <cell r="I1423" t="str">
            <v>Unknown- Dry;Conventional;0;2</v>
          </cell>
          <cell r="J1423" t="str">
            <v>AB</v>
          </cell>
          <cell r="K1423" t="str">
            <v>Deep</v>
          </cell>
          <cell r="L1423">
            <v>15</v>
          </cell>
          <cell r="M1423">
            <v>466</v>
          </cell>
        </row>
        <row r="1424">
          <cell r="A1424">
            <v>2</v>
          </cell>
          <cell r="B1424">
            <v>2007</v>
          </cell>
          <cell r="C1424">
            <v>1</v>
          </cell>
          <cell r="D1424" t="str">
            <v>Production</v>
          </cell>
          <cell r="E1424" t="str">
            <v>Unknown- Dry</v>
          </cell>
          <cell r="F1424" t="str">
            <v>Conventional</v>
          </cell>
          <cell r="G1424">
            <v>0</v>
          </cell>
          <cell r="H1424" t="str">
            <v>Production;Unknown- Dry;Conventional</v>
          </cell>
          <cell r="I1424" t="str">
            <v>Unknown- Dry;Conventional;0;2</v>
          </cell>
          <cell r="J1424" t="str">
            <v>AB</v>
          </cell>
          <cell r="K1424" t="str">
            <v>Medium</v>
          </cell>
          <cell r="L1424">
            <v>34</v>
          </cell>
          <cell r="M1424">
            <v>408</v>
          </cell>
        </row>
        <row r="1425">
          <cell r="A1425">
            <v>2</v>
          </cell>
          <cell r="B1425">
            <v>2007</v>
          </cell>
          <cell r="C1425">
            <v>1</v>
          </cell>
          <cell r="D1425" t="str">
            <v>Production</v>
          </cell>
          <cell r="E1425" t="str">
            <v>Unknown- Dry</v>
          </cell>
          <cell r="F1425" t="str">
            <v>Conventional</v>
          </cell>
          <cell r="G1425">
            <v>0</v>
          </cell>
          <cell r="H1425" t="str">
            <v>Production;Unknown- Dry;Conventional</v>
          </cell>
          <cell r="I1425" t="str">
            <v>Unknown- Dry;Conventional;0;2</v>
          </cell>
          <cell r="J1425" t="str">
            <v>AB</v>
          </cell>
          <cell r="K1425" t="str">
            <v>Shallow</v>
          </cell>
          <cell r="L1425">
            <v>2</v>
          </cell>
          <cell r="M1425">
            <v>11</v>
          </cell>
        </row>
        <row r="1426">
          <cell r="A1426">
            <v>2</v>
          </cell>
          <cell r="B1426">
            <v>2007</v>
          </cell>
          <cell r="C1426">
            <v>2</v>
          </cell>
          <cell r="D1426" t="str">
            <v>Production</v>
          </cell>
          <cell r="E1426" t="str">
            <v>Unknown- Dry</v>
          </cell>
          <cell r="F1426" t="str">
            <v>Conventional</v>
          </cell>
          <cell r="G1426">
            <v>0</v>
          </cell>
          <cell r="H1426" t="str">
            <v>Production;Unknown- Dry;Conventional</v>
          </cell>
          <cell r="I1426" t="str">
            <v>Unknown- Dry;Conventional;0;2</v>
          </cell>
          <cell r="J1426" t="str">
            <v>AB</v>
          </cell>
          <cell r="K1426" t="str">
            <v>Medium</v>
          </cell>
          <cell r="L1426">
            <v>1</v>
          </cell>
          <cell r="M1426">
            <v>8</v>
          </cell>
        </row>
        <row r="1427">
          <cell r="A1427">
            <v>2</v>
          </cell>
          <cell r="B1427">
            <v>2007</v>
          </cell>
          <cell r="C1427">
            <v>3</v>
          </cell>
          <cell r="D1427" t="str">
            <v>Production</v>
          </cell>
          <cell r="E1427" t="str">
            <v>Unknown- Dry</v>
          </cell>
          <cell r="F1427" t="str">
            <v>Conventional</v>
          </cell>
          <cell r="G1427">
            <v>0</v>
          </cell>
          <cell r="H1427" t="str">
            <v>Production;Unknown- Dry;Conventional</v>
          </cell>
          <cell r="I1427" t="str">
            <v>Unknown- Dry;Conventional;0;2</v>
          </cell>
          <cell r="J1427" t="str">
            <v>AB</v>
          </cell>
          <cell r="K1427" t="str">
            <v>Deep</v>
          </cell>
          <cell r="L1427">
            <v>1</v>
          </cell>
          <cell r="M1427">
            <v>1</v>
          </cell>
        </row>
        <row r="1428">
          <cell r="A1428">
            <v>3</v>
          </cell>
          <cell r="B1428">
            <v>2000</v>
          </cell>
          <cell r="C1428">
            <v>1</v>
          </cell>
          <cell r="D1428" t="str">
            <v>Production</v>
          </cell>
          <cell r="E1428" t="str">
            <v>Unknown- Dry</v>
          </cell>
          <cell r="F1428" t="str">
            <v>Conventional</v>
          </cell>
          <cell r="G1428">
            <v>0</v>
          </cell>
          <cell r="H1428" t="str">
            <v>Production;Unknown- Dry;Conventional</v>
          </cell>
          <cell r="I1428" t="str">
            <v>Unknown- Dry;Conventional;0;3</v>
          </cell>
          <cell r="J1428" t="str">
            <v>AB</v>
          </cell>
          <cell r="K1428" t="str">
            <v>Deep</v>
          </cell>
          <cell r="L1428">
            <v>21</v>
          </cell>
          <cell r="M1428">
            <v>749</v>
          </cell>
        </row>
        <row r="1429">
          <cell r="A1429">
            <v>3</v>
          </cell>
          <cell r="B1429">
            <v>2000</v>
          </cell>
          <cell r="C1429">
            <v>1</v>
          </cell>
          <cell r="D1429" t="str">
            <v>Production</v>
          </cell>
          <cell r="E1429" t="str">
            <v>Unknown- Dry</v>
          </cell>
          <cell r="F1429" t="str">
            <v>Conventional</v>
          </cell>
          <cell r="G1429">
            <v>0</v>
          </cell>
          <cell r="H1429" t="str">
            <v>Production;Unknown- Dry;Conventional</v>
          </cell>
          <cell r="I1429" t="str">
            <v>Unknown- Dry;Conventional;0;3</v>
          </cell>
          <cell r="J1429" t="str">
            <v>AB</v>
          </cell>
          <cell r="K1429" t="str">
            <v>Medium</v>
          </cell>
          <cell r="L1429">
            <v>178</v>
          </cell>
          <cell r="M1429">
            <v>1076.8316871000002</v>
          </cell>
        </row>
        <row r="1430">
          <cell r="A1430">
            <v>3</v>
          </cell>
          <cell r="B1430">
            <v>2000</v>
          </cell>
          <cell r="C1430">
            <v>1</v>
          </cell>
          <cell r="D1430" t="str">
            <v>Production</v>
          </cell>
          <cell r="E1430" t="str">
            <v>Unknown- Dry</v>
          </cell>
          <cell r="F1430" t="str">
            <v>Conventional</v>
          </cell>
          <cell r="G1430">
            <v>0</v>
          </cell>
          <cell r="H1430" t="str">
            <v>Production;Unknown- Dry;Conventional</v>
          </cell>
          <cell r="I1430" t="str">
            <v>Unknown- Dry;Conventional;0;3</v>
          </cell>
          <cell r="J1430" t="str">
            <v>AB</v>
          </cell>
          <cell r="K1430" t="str">
            <v>Shallow</v>
          </cell>
          <cell r="L1430">
            <v>221</v>
          </cell>
          <cell r="M1430">
            <v>845.5392875</v>
          </cell>
        </row>
        <row r="1431">
          <cell r="A1431">
            <v>3</v>
          </cell>
          <cell r="B1431">
            <v>2000</v>
          </cell>
          <cell r="C1431">
            <v>2</v>
          </cell>
          <cell r="D1431" t="str">
            <v>Production</v>
          </cell>
          <cell r="E1431" t="str">
            <v>Unknown- Dry</v>
          </cell>
          <cell r="F1431" t="str">
            <v>Conventional</v>
          </cell>
          <cell r="G1431">
            <v>0</v>
          </cell>
          <cell r="H1431" t="str">
            <v>Production;Unknown- Dry;Conventional</v>
          </cell>
          <cell r="I1431" t="str">
            <v>Unknown- Dry;Conventional;0;3</v>
          </cell>
          <cell r="J1431" t="str">
            <v>AB</v>
          </cell>
          <cell r="K1431" t="str">
            <v>Shallow</v>
          </cell>
          <cell r="L1431">
            <v>1</v>
          </cell>
          <cell r="M1431">
            <v>8</v>
          </cell>
        </row>
        <row r="1432">
          <cell r="A1432">
            <v>3</v>
          </cell>
          <cell r="B1432">
            <v>2001</v>
          </cell>
          <cell r="C1432">
            <v>1</v>
          </cell>
          <cell r="D1432" t="str">
            <v>Production</v>
          </cell>
          <cell r="E1432" t="str">
            <v>Unknown- Dry</v>
          </cell>
          <cell r="F1432" t="str">
            <v>Conventional</v>
          </cell>
          <cell r="G1432">
            <v>0</v>
          </cell>
          <cell r="H1432" t="str">
            <v>Production;Unknown- Dry;Conventional</v>
          </cell>
          <cell r="I1432" t="str">
            <v>Unknown- Dry;Conventional;0;3</v>
          </cell>
          <cell r="J1432" t="str">
            <v>AB</v>
          </cell>
          <cell r="K1432" t="str">
            <v>Deep</v>
          </cell>
          <cell r="L1432">
            <v>5</v>
          </cell>
          <cell r="M1432">
            <v>53</v>
          </cell>
        </row>
        <row r="1433">
          <cell r="A1433">
            <v>3</v>
          </cell>
          <cell r="B1433">
            <v>2001</v>
          </cell>
          <cell r="C1433">
            <v>1</v>
          </cell>
          <cell r="D1433" t="str">
            <v>Production</v>
          </cell>
          <cell r="E1433" t="str">
            <v>Unknown- Dry</v>
          </cell>
          <cell r="F1433" t="str">
            <v>Conventional</v>
          </cell>
          <cell r="G1433">
            <v>0</v>
          </cell>
          <cell r="H1433" t="str">
            <v>Production;Unknown- Dry;Conventional</v>
          </cell>
          <cell r="I1433" t="str">
            <v>Unknown- Dry;Conventional;0;3</v>
          </cell>
          <cell r="J1433" t="str">
            <v>AB</v>
          </cell>
          <cell r="K1433" t="str">
            <v>Medium</v>
          </cell>
          <cell r="L1433">
            <v>231</v>
          </cell>
          <cell r="M1433">
            <v>1445.7</v>
          </cell>
        </row>
        <row r="1434">
          <cell r="A1434">
            <v>3</v>
          </cell>
          <cell r="B1434">
            <v>2001</v>
          </cell>
          <cell r="C1434">
            <v>1</v>
          </cell>
          <cell r="D1434" t="str">
            <v>Production</v>
          </cell>
          <cell r="E1434" t="str">
            <v>Unknown- Dry</v>
          </cell>
          <cell r="F1434" t="str">
            <v>Conventional</v>
          </cell>
          <cell r="G1434">
            <v>0</v>
          </cell>
          <cell r="H1434" t="str">
            <v>Production;Unknown- Dry;Conventional</v>
          </cell>
          <cell r="I1434" t="str">
            <v>Unknown- Dry;Conventional;0;3</v>
          </cell>
          <cell r="J1434" t="str">
            <v>AB</v>
          </cell>
          <cell r="K1434" t="str">
            <v>Shallow</v>
          </cell>
          <cell r="L1434">
            <v>222</v>
          </cell>
          <cell r="M1434">
            <v>884.01468000000011</v>
          </cell>
        </row>
        <row r="1435">
          <cell r="A1435">
            <v>3</v>
          </cell>
          <cell r="B1435">
            <v>2001</v>
          </cell>
          <cell r="C1435">
            <v>2</v>
          </cell>
          <cell r="D1435" t="str">
            <v>Production</v>
          </cell>
          <cell r="E1435" t="str">
            <v>Unknown- Dry</v>
          </cell>
          <cell r="F1435" t="str">
            <v>Conventional</v>
          </cell>
          <cell r="G1435">
            <v>0</v>
          </cell>
          <cell r="H1435" t="str">
            <v>Production;Unknown- Dry;Conventional</v>
          </cell>
          <cell r="I1435" t="str">
            <v>Unknown- Dry;Conventional;0;3</v>
          </cell>
          <cell r="J1435" t="str">
            <v>AB</v>
          </cell>
          <cell r="K1435" t="str">
            <v>Deep</v>
          </cell>
          <cell r="L1435">
            <v>1</v>
          </cell>
          <cell r="M1435">
            <v>4</v>
          </cell>
        </row>
        <row r="1436">
          <cell r="A1436">
            <v>3</v>
          </cell>
          <cell r="B1436">
            <v>2001</v>
          </cell>
          <cell r="C1436">
            <v>2</v>
          </cell>
          <cell r="D1436" t="str">
            <v>Production</v>
          </cell>
          <cell r="E1436" t="str">
            <v>Unknown- Dry</v>
          </cell>
          <cell r="F1436" t="str">
            <v>Conventional</v>
          </cell>
          <cell r="G1436">
            <v>0</v>
          </cell>
          <cell r="H1436" t="str">
            <v>Production;Unknown- Dry;Conventional</v>
          </cell>
          <cell r="I1436" t="str">
            <v>Unknown- Dry;Conventional;0;3</v>
          </cell>
          <cell r="J1436" t="str">
            <v>AB</v>
          </cell>
          <cell r="K1436" t="str">
            <v>Medium</v>
          </cell>
          <cell r="L1436">
            <v>1</v>
          </cell>
          <cell r="M1436">
            <v>6</v>
          </cell>
        </row>
        <row r="1437">
          <cell r="A1437">
            <v>3</v>
          </cell>
          <cell r="B1437">
            <v>2002</v>
          </cell>
          <cell r="C1437">
            <v>1</v>
          </cell>
          <cell r="D1437" t="str">
            <v>Production</v>
          </cell>
          <cell r="E1437" t="str">
            <v>Unknown- Dry</v>
          </cell>
          <cell r="F1437" t="str">
            <v>Conventional</v>
          </cell>
          <cell r="G1437">
            <v>0</v>
          </cell>
          <cell r="H1437" t="str">
            <v>Production;Unknown- Dry;Conventional</v>
          </cell>
          <cell r="I1437" t="str">
            <v>Unknown- Dry;Conventional;0;3</v>
          </cell>
          <cell r="J1437" t="str">
            <v>AB</v>
          </cell>
          <cell r="K1437" t="str">
            <v>DEEP</v>
          </cell>
          <cell r="L1437">
            <v>3</v>
          </cell>
          <cell r="M1437">
            <v>107</v>
          </cell>
        </row>
        <row r="1438">
          <cell r="A1438">
            <v>3</v>
          </cell>
          <cell r="B1438">
            <v>2002</v>
          </cell>
          <cell r="C1438">
            <v>1</v>
          </cell>
          <cell r="D1438" t="str">
            <v>Production</v>
          </cell>
          <cell r="E1438" t="str">
            <v>Unknown- Dry</v>
          </cell>
          <cell r="F1438" t="str">
            <v>Conventional</v>
          </cell>
          <cell r="G1438">
            <v>0</v>
          </cell>
          <cell r="H1438" t="str">
            <v>Production;Unknown- Dry;Conventional</v>
          </cell>
          <cell r="I1438" t="str">
            <v>Unknown- Dry;Conventional;0;3</v>
          </cell>
          <cell r="J1438" t="str">
            <v>AB</v>
          </cell>
          <cell r="K1438" t="str">
            <v>Medium</v>
          </cell>
          <cell r="L1438">
            <v>135</v>
          </cell>
          <cell r="M1438">
            <v>860.74999730000002</v>
          </cell>
        </row>
        <row r="1439">
          <cell r="A1439">
            <v>3</v>
          </cell>
          <cell r="B1439">
            <v>2002</v>
          </cell>
          <cell r="C1439">
            <v>1</v>
          </cell>
          <cell r="D1439" t="str">
            <v>Production</v>
          </cell>
          <cell r="E1439" t="str">
            <v>Unknown- Dry</v>
          </cell>
          <cell r="F1439" t="str">
            <v>Conventional</v>
          </cell>
          <cell r="G1439">
            <v>0</v>
          </cell>
          <cell r="H1439" t="str">
            <v>Production;Unknown- Dry;Conventional</v>
          </cell>
          <cell r="I1439" t="str">
            <v>Unknown- Dry;Conventional;0;3</v>
          </cell>
          <cell r="J1439" t="str">
            <v>AB</v>
          </cell>
          <cell r="K1439" t="str">
            <v>Shallow</v>
          </cell>
          <cell r="L1439">
            <v>148</v>
          </cell>
          <cell r="M1439">
            <v>652.08333999999991</v>
          </cell>
        </row>
        <row r="1440">
          <cell r="A1440">
            <v>3</v>
          </cell>
          <cell r="B1440">
            <v>2002</v>
          </cell>
          <cell r="C1440">
            <v>2</v>
          </cell>
          <cell r="D1440" t="str">
            <v>Production</v>
          </cell>
          <cell r="E1440" t="str">
            <v>Unknown- Dry</v>
          </cell>
          <cell r="F1440" t="str">
            <v>Conventional</v>
          </cell>
          <cell r="G1440">
            <v>0</v>
          </cell>
          <cell r="H1440" t="str">
            <v>Production;Unknown- Dry;Conventional</v>
          </cell>
          <cell r="I1440" t="str">
            <v>Unknown- Dry;Conventional;0;3</v>
          </cell>
          <cell r="J1440" t="str">
            <v>AB</v>
          </cell>
          <cell r="K1440" t="str">
            <v>SHALLOW</v>
          </cell>
          <cell r="L1440">
            <v>1</v>
          </cell>
          <cell r="M1440">
            <v>4</v>
          </cell>
        </row>
        <row r="1441">
          <cell r="A1441">
            <v>3</v>
          </cell>
          <cell r="B1441">
            <v>2003</v>
          </cell>
          <cell r="C1441">
            <v>1</v>
          </cell>
          <cell r="D1441" t="str">
            <v>Production</v>
          </cell>
          <cell r="E1441" t="str">
            <v>Unknown- Dry</v>
          </cell>
          <cell r="F1441" t="str">
            <v>Conventional</v>
          </cell>
          <cell r="G1441">
            <v>0</v>
          </cell>
          <cell r="H1441" t="str">
            <v>Production;Unknown- Dry;Conventional</v>
          </cell>
          <cell r="I1441" t="str">
            <v>Unknown- Dry;Conventional;0;3</v>
          </cell>
          <cell r="J1441" t="str">
            <v>AB</v>
          </cell>
          <cell r="K1441" t="str">
            <v>Deep</v>
          </cell>
          <cell r="L1441">
            <v>4</v>
          </cell>
          <cell r="M1441">
            <v>16</v>
          </cell>
        </row>
        <row r="1442">
          <cell r="A1442">
            <v>3</v>
          </cell>
          <cell r="B1442">
            <v>2003</v>
          </cell>
          <cell r="C1442">
            <v>1</v>
          </cell>
          <cell r="D1442" t="str">
            <v>Production</v>
          </cell>
          <cell r="E1442" t="str">
            <v>Unknown- Dry</v>
          </cell>
          <cell r="F1442" t="str">
            <v>Conventional</v>
          </cell>
          <cell r="G1442">
            <v>0</v>
          </cell>
          <cell r="H1442" t="str">
            <v>Production;Unknown- Dry;Conventional</v>
          </cell>
          <cell r="I1442" t="str">
            <v>Unknown- Dry;Conventional;0;3</v>
          </cell>
          <cell r="J1442" t="str">
            <v>AB</v>
          </cell>
          <cell r="K1442" t="str">
            <v>Medium</v>
          </cell>
          <cell r="L1442">
            <v>111</v>
          </cell>
          <cell r="M1442">
            <v>725.41666600000008</v>
          </cell>
        </row>
        <row r="1443">
          <cell r="A1443">
            <v>3</v>
          </cell>
          <cell r="B1443">
            <v>2003</v>
          </cell>
          <cell r="C1443">
            <v>1</v>
          </cell>
          <cell r="D1443" t="str">
            <v>Production</v>
          </cell>
          <cell r="E1443" t="str">
            <v>Unknown- Dry</v>
          </cell>
          <cell r="F1443" t="str">
            <v>Conventional</v>
          </cell>
          <cell r="G1443">
            <v>0</v>
          </cell>
          <cell r="H1443" t="str">
            <v>Production;Unknown- Dry;Conventional</v>
          </cell>
          <cell r="I1443" t="str">
            <v>Unknown- Dry;Conventional;0;3</v>
          </cell>
          <cell r="J1443" t="str">
            <v>AB</v>
          </cell>
          <cell r="K1443" t="str">
            <v>Shallow</v>
          </cell>
          <cell r="L1443">
            <v>161</v>
          </cell>
          <cell r="M1443">
            <v>619.03167554000004</v>
          </cell>
        </row>
        <row r="1444">
          <cell r="A1444">
            <v>3</v>
          </cell>
          <cell r="B1444">
            <v>2003</v>
          </cell>
          <cell r="C1444">
            <v>2</v>
          </cell>
          <cell r="D1444" t="str">
            <v>Production</v>
          </cell>
          <cell r="E1444" t="str">
            <v>Unknown- Dry</v>
          </cell>
          <cell r="F1444" t="str">
            <v>Conventional</v>
          </cell>
          <cell r="G1444">
            <v>0</v>
          </cell>
          <cell r="H1444" t="str">
            <v>Production;Unknown- Dry;Conventional</v>
          </cell>
          <cell r="I1444" t="str">
            <v>Unknown- Dry;Conventional;0;3</v>
          </cell>
          <cell r="J1444" t="str">
            <v>AB</v>
          </cell>
          <cell r="K1444" t="str">
            <v>Medium</v>
          </cell>
          <cell r="L1444">
            <v>1</v>
          </cell>
          <cell r="M1444">
            <v>3</v>
          </cell>
        </row>
        <row r="1445">
          <cell r="A1445">
            <v>3</v>
          </cell>
          <cell r="B1445">
            <v>2004</v>
          </cell>
          <cell r="C1445">
            <v>1</v>
          </cell>
          <cell r="D1445" t="str">
            <v>Production</v>
          </cell>
          <cell r="E1445" t="str">
            <v>Unknown- Dry</v>
          </cell>
          <cell r="F1445" t="str">
            <v>Conventional</v>
          </cell>
          <cell r="G1445">
            <v>0</v>
          </cell>
          <cell r="H1445" t="str">
            <v>Production;Unknown- Dry;Conventional</v>
          </cell>
          <cell r="I1445" t="str">
            <v>Unknown- Dry;Conventional;0;3</v>
          </cell>
          <cell r="J1445" t="str">
            <v>AB</v>
          </cell>
          <cell r="K1445" t="str">
            <v>Deep</v>
          </cell>
          <cell r="L1445">
            <v>5</v>
          </cell>
          <cell r="M1445">
            <v>75</v>
          </cell>
        </row>
        <row r="1446">
          <cell r="A1446">
            <v>3</v>
          </cell>
          <cell r="B1446">
            <v>2004</v>
          </cell>
          <cell r="C1446">
            <v>1</v>
          </cell>
          <cell r="D1446" t="str">
            <v>Production</v>
          </cell>
          <cell r="E1446" t="str">
            <v>Unknown- Dry</v>
          </cell>
          <cell r="F1446" t="str">
            <v>Conventional</v>
          </cell>
          <cell r="G1446">
            <v>0</v>
          </cell>
          <cell r="H1446" t="str">
            <v>Production;Unknown- Dry;Conventional</v>
          </cell>
          <cell r="I1446" t="str">
            <v>Unknown- Dry;Conventional;0;3</v>
          </cell>
          <cell r="J1446" t="str">
            <v>AB</v>
          </cell>
          <cell r="K1446" t="str">
            <v>Medium</v>
          </cell>
          <cell r="L1446">
            <v>89</v>
          </cell>
          <cell r="M1446">
            <v>481.52911889999996</v>
          </cell>
        </row>
        <row r="1447">
          <cell r="A1447">
            <v>3</v>
          </cell>
          <cell r="B1447">
            <v>2004</v>
          </cell>
          <cell r="C1447">
            <v>1</v>
          </cell>
          <cell r="D1447" t="str">
            <v>Production</v>
          </cell>
          <cell r="E1447" t="str">
            <v>Unknown- Dry</v>
          </cell>
          <cell r="F1447" t="str">
            <v>Conventional</v>
          </cell>
          <cell r="G1447">
            <v>0</v>
          </cell>
          <cell r="H1447" t="str">
            <v>Production;Unknown- Dry;Conventional</v>
          </cell>
          <cell r="I1447" t="str">
            <v>Unknown- Dry;Conventional;0;3</v>
          </cell>
          <cell r="J1447" t="str">
            <v>AB</v>
          </cell>
          <cell r="K1447" t="str">
            <v>Shallow</v>
          </cell>
          <cell r="L1447">
            <v>175</v>
          </cell>
          <cell r="M1447">
            <v>623.86230230000001</v>
          </cell>
        </row>
        <row r="1448">
          <cell r="A1448">
            <v>3</v>
          </cell>
          <cell r="B1448">
            <v>2004</v>
          </cell>
          <cell r="C1448">
            <v>2</v>
          </cell>
          <cell r="D1448" t="str">
            <v>Production</v>
          </cell>
          <cell r="E1448" t="str">
            <v>Unknown- Dry</v>
          </cell>
          <cell r="F1448" t="str">
            <v>Conventional</v>
          </cell>
          <cell r="G1448">
            <v>0</v>
          </cell>
          <cell r="H1448" t="str">
            <v>Production;Unknown- Dry;Conventional</v>
          </cell>
          <cell r="I1448" t="str">
            <v>Unknown- Dry;Conventional;0;3</v>
          </cell>
          <cell r="J1448" t="str">
            <v>AB</v>
          </cell>
          <cell r="K1448" t="str">
            <v>Deep</v>
          </cell>
          <cell r="L1448">
            <v>1</v>
          </cell>
          <cell r="M1448">
            <v>13</v>
          </cell>
        </row>
        <row r="1449">
          <cell r="A1449">
            <v>3</v>
          </cell>
          <cell r="B1449">
            <v>2004</v>
          </cell>
          <cell r="C1449">
            <v>2</v>
          </cell>
          <cell r="D1449" t="str">
            <v>Production</v>
          </cell>
          <cell r="E1449" t="str">
            <v>Unknown- Dry</v>
          </cell>
          <cell r="F1449" t="str">
            <v>Conventional</v>
          </cell>
          <cell r="G1449">
            <v>0</v>
          </cell>
          <cell r="H1449" t="str">
            <v>Production;Unknown- Dry;Conventional</v>
          </cell>
          <cell r="I1449" t="str">
            <v>Unknown- Dry;Conventional;0;3</v>
          </cell>
          <cell r="J1449" t="str">
            <v>AB</v>
          </cell>
          <cell r="K1449" t="str">
            <v>Medium</v>
          </cell>
          <cell r="L1449">
            <v>1</v>
          </cell>
          <cell r="M1449">
            <v>16</v>
          </cell>
        </row>
        <row r="1450">
          <cell r="A1450">
            <v>3</v>
          </cell>
          <cell r="B1450">
            <v>2004</v>
          </cell>
          <cell r="C1450">
            <v>2</v>
          </cell>
          <cell r="D1450" t="str">
            <v>Production</v>
          </cell>
          <cell r="E1450" t="str">
            <v>Unknown- Dry</v>
          </cell>
          <cell r="F1450" t="str">
            <v>Conventional</v>
          </cell>
          <cell r="G1450">
            <v>0</v>
          </cell>
          <cell r="H1450" t="str">
            <v>Production;Unknown- Dry;Conventional</v>
          </cell>
          <cell r="I1450" t="str">
            <v>Unknown- Dry;Conventional;0;3</v>
          </cell>
          <cell r="J1450" t="str">
            <v>AB</v>
          </cell>
          <cell r="K1450" t="str">
            <v>Shallow</v>
          </cell>
          <cell r="L1450">
            <v>2</v>
          </cell>
          <cell r="M1450">
            <v>5</v>
          </cell>
        </row>
        <row r="1451">
          <cell r="A1451">
            <v>3</v>
          </cell>
          <cell r="B1451">
            <v>2005</v>
          </cell>
          <cell r="C1451">
            <v>1</v>
          </cell>
          <cell r="D1451" t="str">
            <v>Production</v>
          </cell>
          <cell r="E1451" t="str">
            <v>Unknown- Dry</v>
          </cell>
          <cell r="F1451" t="str">
            <v>Conventional</v>
          </cell>
          <cell r="G1451">
            <v>0</v>
          </cell>
          <cell r="H1451" t="str">
            <v>Production;Unknown- Dry;Conventional</v>
          </cell>
          <cell r="I1451" t="str">
            <v>Unknown- Dry;Conventional;0;3</v>
          </cell>
          <cell r="J1451" t="str">
            <v>AB</v>
          </cell>
          <cell r="K1451" t="str">
            <v>Deep</v>
          </cell>
          <cell r="L1451">
            <v>4</v>
          </cell>
          <cell r="M1451">
            <v>19.5</v>
          </cell>
        </row>
        <row r="1452">
          <cell r="A1452">
            <v>3</v>
          </cell>
          <cell r="B1452">
            <v>2005</v>
          </cell>
          <cell r="C1452">
            <v>1</v>
          </cell>
          <cell r="D1452" t="str">
            <v>Production</v>
          </cell>
          <cell r="E1452" t="str">
            <v>Unknown- Dry</v>
          </cell>
          <cell r="F1452" t="str">
            <v>Conventional</v>
          </cell>
          <cell r="G1452">
            <v>0</v>
          </cell>
          <cell r="H1452" t="str">
            <v>Production;Unknown- Dry;Conventional</v>
          </cell>
          <cell r="I1452" t="str">
            <v>Unknown- Dry;Conventional;0;3</v>
          </cell>
          <cell r="J1452" t="str">
            <v>AB</v>
          </cell>
          <cell r="K1452" t="str">
            <v>Medium</v>
          </cell>
          <cell r="L1452">
            <v>60</v>
          </cell>
          <cell r="M1452">
            <v>410</v>
          </cell>
        </row>
        <row r="1453">
          <cell r="A1453">
            <v>3</v>
          </cell>
          <cell r="B1453">
            <v>2005</v>
          </cell>
          <cell r="C1453">
            <v>1</v>
          </cell>
          <cell r="D1453" t="str">
            <v>Production</v>
          </cell>
          <cell r="E1453" t="str">
            <v>Unknown- Dry</v>
          </cell>
          <cell r="F1453" t="str">
            <v>Conventional</v>
          </cell>
          <cell r="G1453">
            <v>0</v>
          </cell>
          <cell r="H1453" t="str">
            <v>Production;Unknown- Dry;Conventional</v>
          </cell>
          <cell r="I1453" t="str">
            <v>Unknown- Dry;Conventional;0;3</v>
          </cell>
          <cell r="J1453" t="str">
            <v>AB</v>
          </cell>
          <cell r="K1453" t="str">
            <v>Shallow</v>
          </cell>
          <cell r="L1453">
            <v>146</v>
          </cell>
          <cell r="M1453">
            <v>685.61327230000006</v>
          </cell>
        </row>
        <row r="1454">
          <cell r="A1454">
            <v>3</v>
          </cell>
          <cell r="B1454">
            <v>2006</v>
          </cell>
          <cell r="C1454">
            <v>1</v>
          </cell>
          <cell r="D1454" t="str">
            <v>Production</v>
          </cell>
          <cell r="E1454" t="str">
            <v>Unknown- Dry</v>
          </cell>
          <cell r="F1454" t="str">
            <v>Conventional</v>
          </cell>
          <cell r="G1454">
            <v>0</v>
          </cell>
          <cell r="H1454" t="str">
            <v>Production;Unknown- Dry;Conventional</v>
          </cell>
          <cell r="I1454" t="str">
            <v>Unknown- Dry;Conventional;0;3</v>
          </cell>
          <cell r="J1454" t="str">
            <v>AB</v>
          </cell>
          <cell r="K1454" t="str">
            <v>Deep</v>
          </cell>
          <cell r="L1454">
            <v>1</v>
          </cell>
          <cell r="M1454">
            <v>3</v>
          </cell>
        </row>
        <row r="1455">
          <cell r="A1455">
            <v>3</v>
          </cell>
          <cell r="B1455">
            <v>2006</v>
          </cell>
          <cell r="C1455">
            <v>1</v>
          </cell>
          <cell r="D1455" t="str">
            <v>Production</v>
          </cell>
          <cell r="E1455" t="str">
            <v>Unknown- Dry</v>
          </cell>
          <cell r="F1455" t="str">
            <v>Conventional</v>
          </cell>
          <cell r="G1455">
            <v>0</v>
          </cell>
          <cell r="H1455" t="str">
            <v>Production;Unknown- Dry;Conventional</v>
          </cell>
          <cell r="I1455" t="str">
            <v>Unknown- Dry;Conventional;0;3</v>
          </cell>
          <cell r="J1455" t="str">
            <v>AB</v>
          </cell>
          <cell r="K1455" t="str">
            <v>Medium</v>
          </cell>
          <cell r="L1455">
            <v>46</v>
          </cell>
          <cell r="M1455">
            <v>510.86905900000005</v>
          </cell>
        </row>
        <row r="1456">
          <cell r="A1456">
            <v>3</v>
          </cell>
          <cell r="B1456">
            <v>2006</v>
          </cell>
          <cell r="C1456">
            <v>1</v>
          </cell>
          <cell r="D1456" t="str">
            <v>Production</v>
          </cell>
          <cell r="E1456" t="str">
            <v>Unknown- Dry</v>
          </cell>
          <cell r="F1456" t="str">
            <v>Conventional</v>
          </cell>
          <cell r="G1456">
            <v>0</v>
          </cell>
          <cell r="H1456" t="str">
            <v>Production;Unknown- Dry;Conventional</v>
          </cell>
          <cell r="I1456" t="str">
            <v>Unknown- Dry;Conventional;0;3</v>
          </cell>
          <cell r="J1456" t="str">
            <v>AB</v>
          </cell>
          <cell r="K1456" t="str">
            <v>Shallow</v>
          </cell>
          <cell r="L1456">
            <v>104</v>
          </cell>
          <cell r="M1456">
            <v>392.28882579999993</v>
          </cell>
        </row>
        <row r="1457">
          <cell r="A1457">
            <v>3</v>
          </cell>
          <cell r="B1457">
            <v>2006</v>
          </cell>
          <cell r="C1457">
            <v>2</v>
          </cell>
          <cell r="D1457" t="str">
            <v>Production</v>
          </cell>
          <cell r="E1457" t="str">
            <v>Unknown- Dry</v>
          </cell>
          <cell r="F1457" t="str">
            <v>Conventional</v>
          </cell>
          <cell r="G1457">
            <v>0</v>
          </cell>
          <cell r="H1457" t="str">
            <v>Production;Unknown- Dry;Conventional</v>
          </cell>
          <cell r="I1457" t="str">
            <v>Unknown- Dry;Conventional;0;3</v>
          </cell>
          <cell r="J1457" t="str">
            <v>AB</v>
          </cell>
          <cell r="K1457" t="str">
            <v>Shallow</v>
          </cell>
          <cell r="L1457">
            <v>1</v>
          </cell>
          <cell r="M1457">
            <v>5</v>
          </cell>
        </row>
        <row r="1458">
          <cell r="A1458">
            <v>3</v>
          </cell>
          <cell r="B1458">
            <v>2007</v>
          </cell>
          <cell r="C1458">
            <v>1</v>
          </cell>
          <cell r="D1458" t="str">
            <v>Production</v>
          </cell>
          <cell r="E1458" t="str">
            <v>Unknown- Dry</v>
          </cell>
          <cell r="F1458" t="str">
            <v>Conventional</v>
          </cell>
          <cell r="G1458">
            <v>0</v>
          </cell>
          <cell r="H1458" t="str">
            <v>Production;Unknown- Dry;Conventional</v>
          </cell>
          <cell r="I1458" t="str">
            <v>Unknown- Dry;Conventional;0;3</v>
          </cell>
          <cell r="J1458" t="str">
            <v>AB</v>
          </cell>
          <cell r="K1458" t="str">
            <v>Deep</v>
          </cell>
          <cell r="L1458">
            <v>2</v>
          </cell>
          <cell r="M1458">
            <v>39</v>
          </cell>
        </row>
        <row r="1459">
          <cell r="A1459">
            <v>3</v>
          </cell>
          <cell r="B1459">
            <v>2007</v>
          </cell>
          <cell r="C1459">
            <v>1</v>
          </cell>
          <cell r="D1459" t="str">
            <v>Production</v>
          </cell>
          <cell r="E1459" t="str">
            <v>Unknown- Dry</v>
          </cell>
          <cell r="F1459" t="str">
            <v>Conventional</v>
          </cell>
          <cell r="G1459">
            <v>0</v>
          </cell>
          <cell r="H1459" t="str">
            <v>Production;Unknown- Dry;Conventional</v>
          </cell>
          <cell r="I1459" t="str">
            <v>Unknown- Dry;Conventional;0;3</v>
          </cell>
          <cell r="J1459" t="str">
            <v>AB</v>
          </cell>
          <cell r="K1459" t="str">
            <v>Medium</v>
          </cell>
          <cell r="L1459">
            <v>2</v>
          </cell>
          <cell r="M1459">
            <v>8</v>
          </cell>
        </row>
        <row r="1460">
          <cell r="A1460">
            <v>3</v>
          </cell>
          <cell r="B1460">
            <v>2007</v>
          </cell>
          <cell r="C1460">
            <v>1</v>
          </cell>
          <cell r="D1460" t="str">
            <v>Production</v>
          </cell>
          <cell r="E1460" t="str">
            <v>Unknown- Dry</v>
          </cell>
          <cell r="F1460" t="str">
            <v>Conventional</v>
          </cell>
          <cell r="G1460">
            <v>0</v>
          </cell>
          <cell r="H1460" t="str">
            <v>Production;Unknown- Dry;Conventional</v>
          </cell>
          <cell r="I1460" t="str">
            <v>Unknown- Dry;Conventional;0;3</v>
          </cell>
          <cell r="J1460" t="str">
            <v>AB</v>
          </cell>
          <cell r="K1460" t="str">
            <v>Shallow</v>
          </cell>
          <cell r="L1460">
            <v>15</v>
          </cell>
          <cell r="M1460">
            <v>67</v>
          </cell>
        </row>
        <row r="1461">
          <cell r="A1461">
            <v>4</v>
          </cell>
          <cell r="B1461">
            <v>2000</v>
          </cell>
          <cell r="C1461">
            <v>1</v>
          </cell>
          <cell r="D1461" t="str">
            <v>Production</v>
          </cell>
          <cell r="E1461" t="str">
            <v>Unknown- Dry</v>
          </cell>
          <cell r="F1461" t="str">
            <v>Conventional</v>
          </cell>
          <cell r="G1461">
            <v>0</v>
          </cell>
          <cell r="H1461" t="str">
            <v>Production;Unknown- Dry;Conventional</v>
          </cell>
          <cell r="I1461" t="str">
            <v>Unknown- Dry;Conventional;0;4</v>
          </cell>
          <cell r="J1461" t="str">
            <v>AB</v>
          </cell>
          <cell r="K1461" t="str">
            <v>Medium</v>
          </cell>
          <cell r="L1461">
            <v>45</v>
          </cell>
          <cell r="M1461">
            <v>149.71779320000002</v>
          </cell>
        </row>
        <row r="1462">
          <cell r="A1462">
            <v>4</v>
          </cell>
          <cell r="B1462">
            <v>2000</v>
          </cell>
          <cell r="C1462">
            <v>1</v>
          </cell>
          <cell r="D1462" t="str">
            <v>Production</v>
          </cell>
          <cell r="E1462" t="str">
            <v>Unknown- Dry</v>
          </cell>
          <cell r="F1462" t="str">
            <v>Conventional</v>
          </cell>
          <cell r="G1462">
            <v>0</v>
          </cell>
          <cell r="H1462" t="str">
            <v>Production;Unknown- Dry;Conventional</v>
          </cell>
          <cell r="I1462" t="str">
            <v>Unknown- Dry;Conventional;0;4</v>
          </cell>
          <cell r="J1462" t="str">
            <v>AB</v>
          </cell>
          <cell r="K1462" t="str">
            <v>Shallow</v>
          </cell>
          <cell r="L1462">
            <v>158</v>
          </cell>
          <cell r="M1462">
            <v>587.55792039999994</v>
          </cell>
        </row>
        <row r="1463">
          <cell r="A1463">
            <v>4</v>
          </cell>
          <cell r="B1463">
            <v>2001</v>
          </cell>
          <cell r="C1463">
            <v>1</v>
          </cell>
          <cell r="D1463" t="str">
            <v>Production</v>
          </cell>
          <cell r="E1463" t="str">
            <v>Unknown- Dry</v>
          </cell>
          <cell r="F1463" t="str">
            <v>Conventional</v>
          </cell>
          <cell r="G1463">
            <v>0</v>
          </cell>
          <cell r="H1463" t="str">
            <v>Production;Unknown- Dry;Conventional</v>
          </cell>
          <cell r="I1463" t="str">
            <v>Unknown- Dry;Conventional;0;4</v>
          </cell>
          <cell r="J1463" t="str">
            <v>AB</v>
          </cell>
          <cell r="K1463" t="str">
            <v>Medium</v>
          </cell>
          <cell r="L1463">
            <v>20</v>
          </cell>
          <cell r="M1463">
            <v>88.497258500000015</v>
          </cell>
        </row>
        <row r="1464">
          <cell r="A1464">
            <v>4</v>
          </cell>
          <cell r="B1464">
            <v>2001</v>
          </cell>
          <cell r="C1464">
            <v>1</v>
          </cell>
          <cell r="D1464" t="str">
            <v>Production</v>
          </cell>
          <cell r="E1464" t="str">
            <v>Unknown- Dry</v>
          </cell>
          <cell r="F1464" t="str">
            <v>Conventional</v>
          </cell>
          <cell r="G1464">
            <v>0</v>
          </cell>
          <cell r="H1464" t="str">
            <v>Production;Unknown- Dry;Conventional</v>
          </cell>
          <cell r="I1464" t="str">
            <v>Unknown- Dry;Conventional;0;4</v>
          </cell>
          <cell r="J1464" t="str">
            <v>AB</v>
          </cell>
          <cell r="K1464" t="str">
            <v>Shallow</v>
          </cell>
          <cell r="L1464">
            <v>121</v>
          </cell>
          <cell r="M1464">
            <v>391.62618750000001</v>
          </cell>
        </row>
        <row r="1465">
          <cell r="A1465">
            <v>4</v>
          </cell>
          <cell r="B1465">
            <v>2002</v>
          </cell>
          <cell r="C1465">
            <v>1</v>
          </cell>
          <cell r="D1465" t="str">
            <v>Production</v>
          </cell>
          <cell r="E1465" t="str">
            <v>Unknown- Dry</v>
          </cell>
          <cell r="F1465" t="str">
            <v>Conventional</v>
          </cell>
          <cell r="G1465">
            <v>0</v>
          </cell>
          <cell r="H1465" t="str">
            <v>Production;Unknown- Dry;Conventional</v>
          </cell>
          <cell r="I1465" t="str">
            <v>Unknown- Dry;Conventional;0;4</v>
          </cell>
          <cell r="J1465" t="str">
            <v>AB</v>
          </cell>
          <cell r="K1465" t="str">
            <v>Deep</v>
          </cell>
          <cell r="L1465">
            <v>1</v>
          </cell>
          <cell r="M1465">
            <v>2</v>
          </cell>
        </row>
        <row r="1466">
          <cell r="A1466">
            <v>4</v>
          </cell>
          <cell r="B1466">
            <v>2002</v>
          </cell>
          <cell r="C1466">
            <v>1</v>
          </cell>
          <cell r="D1466" t="str">
            <v>Production</v>
          </cell>
          <cell r="E1466" t="str">
            <v>Unknown- Dry</v>
          </cell>
          <cell r="F1466" t="str">
            <v>Conventional</v>
          </cell>
          <cell r="G1466">
            <v>0</v>
          </cell>
          <cell r="H1466" t="str">
            <v>Production;Unknown- Dry;Conventional</v>
          </cell>
          <cell r="I1466" t="str">
            <v>Unknown- Dry;Conventional;0;4</v>
          </cell>
          <cell r="J1466" t="str">
            <v>AB</v>
          </cell>
          <cell r="K1466" t="str">
            <v>MEDIUM</v>
          </cell>
          <cell r="L1466">
            <v>8</v>
          </cell>
          <cell r="M1466">
            <v>26.1666667</v>
          </cell>
        </row>
        <row r="1467">
          <cell r="A1467">
            <v>4</v>
          </cell>
          <cell r="B1467">
            <v>2002</v>
          </cell>
          <cell r="C1467">
            <v>1</v>
          </cell>
          <cell r="D1467" t="str">
            <v>Production</v>
          </cell>
          <cell r="E1467" t="str">
            <v>Unknown- Dry</v>
          </cell>
          <cell r="F1467" t="str">
            <v>Conventional</v>
          </cell>
          <cell r="G1467">
            <v>0</v>
          </cell>
          <cell r="H1467" t="str">
            <v>Production;Unknown- Dry;Conventional</v>
          </cell>
          <cell r="I1467" t="str">
            <v>Unknown- Dry;Conventional;0;4</v>
          </cell>
          <cell r="J1467" t="str">
            <v>AB</v>
          </cell>
          <cell r="K1467" t="str">
            <v>Shallow</v>
          </cell>
          <cell r="L1467">
            <v>90</v>
          </cell>
          <cell r="M1467">
            <v>331.96927899999997</v>
          </cell>
        </row>
        <row r="1468">
          <cell r="A1468">
            <v>4</v>
          </cell>
          <cell r="B1468">
            <v>2003</v>
          </cell>
          <cell r="C1468">
            <v>1</v>
          </cell>
          <cell r="D1468" t="str">
            <v>Production</v>
          </cell>
          <cell r="E1468" t="str">
            <v>Unknown- Dry</v>
          </cell>
          <cell r="F1468" t="str">
            <v>Conventional</v>
          </cell>
          <cell r="G1468">
            <v>0</v>
          </cell>
          <cell r="H1468" t="str">
            <v>Production;Unknown- Dry;Conventional</v>
          </cell>
          <cell r="I1468" t="str">
            <v>Unknown- Dry;Conventional;0;4</v>
          </cell>
          <cell r="J1468" t="str">
            <v>AB</v>
          </cell>
          <cell r="K1468" t="str">
            <v>Medium</v>
          </cell>
          <cell r="L1468">
            <v>6</v>
          </cell>
          <cell r="M1468">
            <v>25.5</v>
          </cell>
        </row>
        <row r="1469">
          <cell r="A1469">
            <v>4</v>
          </cell>
          <cell r="B1469">
            <v>2003</v>
          </cell>
          <cell r="C1469">
            <v>1</v>
          </cell>
          <cell r="D1469" t="str">
            <v>Production</v>
          </cell>
          <cell r="E1469" t="str">
            <v>Unknown- Dry</v>
          </cell>
          <cell r="F1469" t="str">
            <v>Conventional</v>
          </cell>
          <cell r="G1469">
            <v>0</v>
          </cell>
          <cell r="H1469" t="str">
            <v>Production;Unknown- Dry;Conventional</v>
          </cell>
          <cell r="I1469" t="str">
            <v>Unknown- Dry;Conventional;0;4</v>
          </cell>
          <cell r="J1469" t="str">
            <v>AB</v>
          </cell>
          <cell r="K1469" t="str">
            <v>Shallow</v>
          </cell>
          <cell r="L1469">
            <v>88</v>
          </cell>
          <cell r="M1469">
            <v>263.97344820000001</v>
          </cell>
        </row>
        <row r="1470">
          <cell r="A1470">
            <v>4</v>
          </cell>
          <cell r="B1470">
            <v>2004</v>
          </cell>
          <cell r="C1470">
            <v>1</v>
          </cell>
          <cell r="D1470" t="str">
            <v>Production</v>
          </cell>
          <cell r="E1470" t="str">
            <v>Unknown- Dry</v>
          </cell>
          <cell r="F1470" t="str">
            <v>Conventional</v>
          </cell>
          <cell r="G1470">
            <v>0</v>
          </cell>
          <cell r="H1470" t="str">
            <v>Production;Unknown- Dry;Conventional</v>
          </cell>
          <cell r="I1470" t="str">
            <v>Unknown- Dry;Conventional;0;4</v>
          </cell>
          <cell r="J1470" t="str">
            <v>AB</v>
          </cell>
          <cell r="K1470" t="str">
            <v>Deep</v>
          </cell>
          <cell r="L1470">
            <v>4</v>
          </cell>
          <cell r="M1470">
            <v>9.1666670000000003</v>
          </cell>
        </row>
        <row r="1471">
          <cell r="A1471">
            <v>4</v>
          </cell>
          <cell r="B1471">
            <v>2004</v>
          </cell>
          <cell r="C1471">
            <v>1</v>
          </cell>
          <cell r="D1471" t="str">
            <v>Production</v>
          </cell>
          <cell r="E1471" t="str">
            <v>Unknown- Dry</v>
          </cell>
          <cell r="F1471" t="str">
            <v>Conventional</v>
          </cell>
          <cell r="G1471">
            <v>0</v>
          </cell>
          <cell r="H1471" t="str">
            <v>Production;Unknown- Dry;Conventional</v>
          </cell>
          <cell r="I1471" t="str">
            <v>Unknown- Dry;Conventional;0;4</v>
          </cell>
          <cell r="J1471" t="str">
            <v>AB</v>
          </cell>
          <cell r="K1471" t="str">
            <v>Medium</v>
          </cell>
          <cell r="L1471">
            <v>9</v>
          </cell>
          <cell r="M1471">
            <v>28.5</v>
          </cell>
        </row>
        <row r="1472">
          <cell r="A1472">
            <v>4</v>
          </cell>
          <cell r="B1472">
            <v>2004</v>
          </cell>
          <cell r="C1472">
            <v>1</v>
          </cell>
          <cell r="D1472" t="str">
            <v>Production</v>
          </cell>
          <cell r="E1472" t="str">
            <v>Unknown- Dry</v>
          </cell>
          <cell r="F1472" t="str">
            <v>Conventional</v>
          </cell>
          <cell r="G1472">
            <v>0</v>
          </cell>
          <cell r="H1472" t="str">
            <v>Production;Unknown- Dry;Conventional</v>
          </cell>
          <cell r="I1472" t="str">
            <v>Unknown- Dry;Conventional;0;4</v>
          </cell>
          <cell r="J1472" t="str">
            <v>AB</v>
          </cell>
          <cell r="K1472" t="str">
            <v>Shallow</v>
          </cell>
          <cell r="L1472">
            <v>56</v>
          </cell>
          <cell r="M1472">
            <v>225.83332999999999</v>
          </cell>
        </row>
        <row r="1473">
          <cell r="A1473">
            <v>4</v>
          </cell>
          <cell r="B1473">
            <v>2004</v>
          </cell>
          <cell r="C1473">
            <v>2</v>
          </cell>
          <cell r="D1473" t="str">
            <v>Production</v>
          </cell>
          <cell r="E1473" t="str">
            <v>Unknown- Dry</v>
          </cell>
          <cell r="F1473" t="str">
            <v>Conventional</v>
          </cell>
          <cell r="G1473">
            <v>0</v>
          </cell>
          <cell r="H1473" t="str">
            <v>Production;Unknown- Dry;Conventional</v>
          </cell>
          <cell r="I1473" t="str">
            <v>Unknown- Dry;Conventional;0;4</v>
          </cell>
          <cell r="J1473" t="str">
            <v>AB</v>
          </cell>
          <cell r="K1473" t="str">
            <v>Shallow</v>
          </cell>
          <cell r="L1473">
            <v>1</v>
          </cell>
          <cell r="M1473">
            <v>3</v>
          </cell>
        </row>
        <row r="1474">
          <cell r="A1474">
            <v>4</v>
          </cell>
          <cell r="B1474">
            <v>2005</v>
          </cell>
          <cell r="C1474">
            <v>1</v>
          </cell>
          <cell r="D1474" t="str">
            <v>Production</v>
          </cell>
          <cell r="E1474" t="str">
            <v>Unknown- Dry</v>
          </cell>
          <cell r="F1474" t="str">
            <v>Conventional</v>
          </cell>
          <cell r="G1474">
            <v>0</v>
          </cell>
          <cell r="H1474" t="str">
            <v>Production;Unknown- Dry;Conventional</v>
          </cell>
          <cell r="I1474" t="str">
            <v>Unknown- Dry;Conventional;0;4</v>
          </cell>
          <cell r="J1474" t="str">
            <v>AB</v>
          </cell>
          <cell r="K1474" t="str">
            <v>Medium</v>
          </cell>
          <cell r="L1474">
            <v>9</v>
          </cell>
          <cell r="M1474">
            <v>31</v>
          </cell>
        </row>
        <row r="1475">
          <cell r="A1475">
            <v>4</v>
          </cell>
          <cell r="B1475">
            <v>2005</v>
          </cell>
          <cell r="C1475">
            <v>1</v>
          </cell>
          <cell r="D1475" t="str">
            <v>Production</v>
          </cell>
          <cell r="E1475" t="str">
            <v>Unknown- Dry</v>
          </cell>
          <cell r="F1475" t="str">
            <v>Conventional</v>
          </cell>
          <cell r="G1475">
            <v>0</v>
          </cell>
          <cell r="H1475" t="str">
            <v>Production;Unknown- Dry;Conventional</v>
          </cell>
          <cell r="I1475" t="str">
            <v>Unknown- Dry;Conventional;0;4</v>
          </cell>
          <cell r="J1475" t="str">
            <v>AB</v>
          </cell>
          <cell r="K1475" t="str">
            <v>Shallow</v>
          </cell>
          <cell r="L1475">
            <v>56</v>
          </cell>
          <cell r="M1475">
            <v>200.49722220000001</v>
          </cell>
        </row>
        <row r="1476">
          <cell r="A1476">
            <v>4</v>
          </cell>
          <cell r="B1476">
            <v>2006</v>
          </cell>
          <cell r="C1476">
            <v>1</v>
          </cell>
          <cell r="D1476" t="str">
            <v>Production</v>
          </cell>
          <cell r="E1476" t="str">
            <v>Unknown- Dry</v>
          </cell>
          <cell r="F1476" t="str">
            <v>Conventional</v>
          </cell>
          <cell r="G1476">
            <v>0</v>
          </cell>
          <cell r="H1476" t="str">
            <v>Production;Unknown- Dry;Conventional</v>
          </cell>
          <cell r="I1476" t="str">
            <v>Unknown- Dry;Conventional;0;4</v>
          </cell>
          <cell r="J1476" t="str">
            <v>AB</v>
          </cell>
          <cell r="K1476" t="str">
            <v>Deep</v>
          </cell>
          <cell r="L1476">
            <v>1</v>
          </cell>
          <cell r="M1476">
            <v>2</v>
          </cell>
        </row>
        <row r="1477">
          <cell r="A1477">
            <v>4</v>
          </cell>
          <cell r="B1477">
            <v>2006</v>
          </cell>
          <cell r="C1477">
            <v>1</v>
          </cell>
          <cell r="D1477" t="str">
            <v>Production</v>
          </cell>
          <cell r="E1477" t="str">
            <v>Unknown- Dry</v>
          </cell>
          <cell r="F1477" t="str">
            <v>Conventional</v>
          </cell>
          <cell r="G1477">
            <v>0</v>
          </cell>
          <cell r="H1477" t="str">
            <v>Production;Unknown- Dry;Conventional</v>
          </cell>
          <cell r="I1477" t="str">
            <v>Unknown- Dry;Conventional;0;4</v>
          </cell>
          <cell r="J1477" t="str">
            <v>AB</v>
          </cell>
          <cell r="K1477" t="str">
            <v>Medium</v>
          </cell>
          <cell r="L1477">
            <v>6</v>
          </cell>
          <cell r="M1477">
            <v>24</v>
          </cell>
        </row>
        <row r="1478">
          <cell r="A1478">
            <v>4</v>
          </cell>
          <cell r="B1478">
            <v>2006</v>
          </cell>
          <cell r="C1478">
            <v>1</v>
          </cell>
          <cell r="D1478" t="str">
            <v>Production</v>
          </cell>
          <cell r="E1478" t="str">
            <v>Unknown- Dry</v>
          </cell>
          <cell r="F1478" t="str">
            <v>Conventional</v>
          </cell>
          <cell r="G1478">
            <v>0</v>
          </cell>
          <cell r="H1478" t="str">
            <v>Production;Unknown- Dry;Conventional</v>
          </cell>
          <cell r="I1478" t="str">
            <v>Unknown- Dry;Conventional;0;4</v>
          </cell>
          <cell r="J1478" t="str">
            <v>AB</v>
          </cell>
          <cell r="K1478" t="str">
            <v>Shallow</v>
          </cell>
          <cell r="L1478">
            <v>37</v>
          </cell>
          <cell r="M1478">
            <v>172.685711</v>
          </cell>
        </row>
        <row r="1479">
          <cell r="A1479">
            <v>4</v>
          </cell>
          <cell r="B1479">
            <v>2006</v>
          </cell>
          <cell r="C1479">
            <v>2</v>
          </cell>
          <cell r="D1479" t="str">
            <v>Production</v>
          </cell>
          <cell r="E1479" t="str">
            <v>Unknown- Dry</v>
          </cell>
          <cell r="F1479" t="str">
            <v>Conventional</v>
          </cell>
          <cell r="G1479">
            <v>0</v>
          </cell>
          <cell r="H1479" t="str">
            <v>Production;Unknown- Dry;Conventional</v>
          </cell>
          <cell r="I1479" t="str">
            <v>Unknown- Dry;Conventional;0;4</v>
          </cell>
          <cell r="J1479" t="str">
            <v>AB</v>
          </cell>
          <cell r="K1479" t="str">
            <v>Shallow</v>
          </cell>
          <cell r="L1479">
            <v>2</v>
          </cell>
          <cell r="M1479">
            <v>19</v>
          </cell>
        </row>
        <row r="1480">
          <cell r="A1480">
            <v>4</v>
          </cell>
          <cell r="B1480">
            <v>2007</v>
          </cell>
          <cell r="C1480">
            <v>1</v>
          </cell>
          <cell r="D1480" t="str">
            <v>Production</v>
          </cell>
          <cell r="E1480" t="str">
            <v>Unknown- Dry</v>
          </cell>
          <cell r="F1480" t="str">
            <v>Conventional</v>
          </cell>
          <cell r="G1480">
            <v>0</v>
          </cell>
          <cell r="H1480" t="str">
            <v>Production;Unknown- Dry;Conventional</v>
          </cell>
          <cell r="I1480" t="str">
            <v>Unknown- Dry;Conventional;0;4</v>
          </cell>
          <cell r="J1480" t="str">
            <v>AB</v>
          </cell>
          <cell r="K1480" t="str">
            <v>Medium</v>
          </cell>
          <cell r="L1480">
            <v>3</v>
          </cell>
          <cell r="M1480">
            <v>11.930303</v>
          </cell>
        </row>
        <row r="1481">
          <cell r="A1481">
            <v>4</v>
          </cell>
          <cell r="B1481">
            <v>2007</v>
          </cell>
          <cell r="C1481">
            <v>1</v>
          </cell>
          <cell r="D1481" t="str">
            <v>Production</v>
          </cell>
          <cell r="E1481" t="str">
            <v>Unknown- Dry</v>
          </cell>
          <cell r="F1481" t="str">
            <v>Conventional</v>
          </cell>
          <cell r="G1481">
            <v>0</v>
          </cell>
          <cell r="H1481" t="str">
            <v>Production;Unknown- Dry;Conventional</v>
          </cell>
          <cell r="I1481" t="str">
            <v>Unknown- Dry;Conventional;0;4</v>
          </cell>
          <cell r="J1481" t="str">
            <v>AB</v>
          </cell>
          <cell r="K1481" t="str">
            <v>Shallow</v>
          </cell>
          <cell r="L1481">
            <v>8</v>
          </cell>
          <cell r="M1481">
            <v>28</v>
          </cell>
        </row>
        <row r="1482">
          <cell r="A1482">
            <v>5</v>
          </cell>
          <cell r="B1482">
            <v>2000</v>
          </cell>
          <cell r="C1482">
            <v>1</v>
          </cell>
          <cell r="D1482" t="str">
            <v>Production</v>
          </cell>
          <cell r="E1482" t="str">
            <v>Unknown- Dry</v>
          </cell>
          <cell r="F1482" t="str">
            <v>Conventional</v>
          </cell>
          <cell r="G1482">
            <v>0</v>
          </cell>
          <cell r="H1482" t="str">
            <v>Production;Unknown- Dry;Conventional</v>
          </cell>
          <cell r="I1482" t="str">
            <v>Unknown- Dry;Conventional;0;5</v>
          </cell>
          <cell r="J1482" t="str">
            <v>AB</v>
          </cell>
          <cell r="K1482" t="str">
            <v>Deep</v>
          </cell>
          <cell r="L1482">
            <v>19</v>
          </cell>
          <cell r="M1482">
            <v>188</v>
          </cell>
        </row>
        <row r="1483">
          <cell r="A1483">
            <v>5</v>
          </cell>
          <cell r="B1483">
            <v>2000</v>
          </cell>
          <cell r="C1483">
            <v>1</v>
          </cell>
          <cell r="D1483" t="str">
            <v>Production</v>
          </cell>
          <cell r="E1483" t="str">
            <v>Unknown- Dry</v>
          </cell>
          <cell r="F1483" t="str">
            <v>Conventional</v>
          </cell>
          <cell r="G1483">
            <v>0</v>
          </cell>
          <cell r="H1483" t="str">
            <v>Production;Unknown- Dry;Conventional</v>
          </cell>
          <cell r="I1483" t="str">
            <v>Unknown- Dry;Conventional;0;5</v>
          </cell>
          <cell r="J1483" t="str">
            <v>AB</v>
          </cell>
          <cell r="K1483" t="str">
            <v>Medium</v>
          </cell>
          <cell r="L1483">
            <v>244</v>
          </cell>
          <cell r="M1483">
            <v>1701.3333333</v>
          </cell>
        </row>
        <row r="1484">
          <cell r="A1484">
            <v>5</v>
          </cell>
          <cell r="B1484">
            <v>2000</v>
          </cell>
          <cell r="C1484">
            <v>1</v>
          </cell>
          <cell r="D1484" t="str">
            <v>Production</v>
          </cell>
          <cell r="E1484" t="str">
            <v>Unknown- Dry</v>
          </cell>
          <cell r="F1484" t="str">
            <v>Conventional</v>
          </cell>
          <cell r="G1484">
            <v>0</v>
          </cell>
          <cell r="H1484" t="str">
            <v>Production;Unknown- Dry;Conventional</v>
          </cell>
          <cell r="I1484" t="str">
            <v>Unknown- Dry;Conventional;0;5</v>
          </cell>
          <cell r="J1484" t="str">
            <v>AB</v>
          </cell>
          <cell r="K1484" t="str">
            <v>Shallow</v>
          </cell>
          <cell r="L1484">
            <v>139</v>
          </cell>
          <cell r="M1484">
            <v>521.42136830000004</v>
          </cell>
        </row>
        <row r="1485">
          <cell r="A1485">
            <v>5</v>
          </cell>
          <cell r="B1485">
            <v>2000</v>
          </cell>
          <cell r="C1485">
            <v>2</v>
          </cell>
          <cell r="D1485" t="str">
            <v>Production</v>
          </cell>
          <cell r="E1485" t="str">
            <v>Unknown- Dry</v>
          </cell>
          <cell r="F1485" t="str">
            <v>Conventional</v>
          </cell>
          <cell r="G1485">
            <v>0</v>
          </cell>
          <cell r="H1485" t="str">
            <v>Production;Unknown- Dry;Conventional</v>
          </cell>
          <cell r="I1485" t="str">
            <v>Unknown- Dry;Conventional;0;5</v>
          </cell>
          <cell r="J1485" t="str">
            <v>AB</v>
          </cell>
          <cell r="K1485" t="str">
            <v>Deep</v>
          </cell>
          <cell r="L1485">
            <v>2</v>
          </cell>
          <cell r="M1485">
            <v>68</v>
          </cell>
        </row>
        <row r="1486">
          <cell r="A1486">
            <v>5</v>
          </cell>
          <cell r="B1486">
            <v>2000</v>
          </cell>
          <cell r="C1486">
            <v>2</v>
          </cell>
          <cell r="D1486" t="str">
            <v>Production</v>
          </cell>
          <cell r="E1486" t="str">
            <v>Unknown- Dry</v>
          </cell>
          <cell r="F1486" t="str">
            <v>Conventional</v>
          </cell>
          <cell r="G1486">
            <v>0</v>
          </cell>
          <cell r="H1486" t="str">
            <v>Production;Unknown- Dry;Conventional</v>
          </cell>
          <cell r="I1486" t="str">
            <v>Unknown- Dry;Conventional;0;5</v>
          </cell>
          <cell r="J1486" t="str">
            <v>AB</v>
          </cell>
          <cell r="K1486" t="str">
            <v>Medium</v>
          </cell>
          <cell r="L1486">
            <v>1</v>
          </cell>
          <cell r="M1486">
            <v>6</v>
          </cell>
        </row>
        <row r="1487">
          <cell r="A1487">
            <v>5</v>
          </cell>
          <cell r="B1487">
            <v>2000</v>
          </cell>
          <cell r="C1487">
            <v>3</v>
          </cell>
          <cell r="D1487" t="str">
            <v>Production</v>
          </cell>
          <cell r="E1487" t="str">
            <v>Unknown- Dry</v>
          </cell>
          <cell r="F1487" t="str">
            <v>Conventional</v>
          </cell>
          <cell r="G1487">
            <v>0</v>
          </cell>
          <cell r="H1487" t="str">
            <v>Production;Unknown- Dry;Conventional</v>
          </cell>
          <cell r="I1487" t="str">
            <v>Unknown- Dry;Conventional;0;5</v>
          </cell>
          <cell r="J1487" t="str">
            <v>AB</v>
          </cell>
          <cell r="K1487" t="str">
            <v>Medium</v>
          </cell>
          <cell r="L1487">
            <v>1</v>
          </cell>
          <cell r="M1487">
            <v>12</v>
          </cell>
        </row>
        <row r="1488">
          <cell r="A1488">
            <v>5</v>
          </cell>
          <cell r="B1488">
            <v>2001</v>
          </cell>
          <cell r="C1488">
            <v>1</v>
          </cell>
          <cell r="D1488" t="str">
            <v>Production</v>
          </cell>
          <cell r="E1488" t="str">
            <v>Unknown- Dry</v>
          </cell>
          <cell r="F1488" t="str">
            <v>Conventional</v>
          </cell>
          <cell r="G1488">
            <v>0</v>
          </cell>
          <cell r="H1488" t="str">
            <v>Production;Unknown- Dry;Conventional</v>
          </cell>
          <cell r="I1488" t="str">
            <v>Unknown- Dry;Conventional;0;5</v>
          </cell>
          <cell r="J1488" t="str">
            <v>AB</v>
          </cell>
          <cell r="K1488" t="str">
            <v>Deep</v>
          </cell>
          <cell r="L1488">
            <v>33</v>
          </cell>
          <cell r="M1488">
            <v>340.5</v>
          </cell>
        </row>
        <row r="1489">
          <cell r="A1489">
            <v>5</v>
          </cell>
          <cell r="B1489">
            <v>2001</v>
          </cell>
          <cell r="C1489">
            <v>1</v>
          </cell>
          <cell r="D1489" t="str">
            <v>Production</v>
          </cell>
          <cell r="E1489" t="str">
            <v>Unknown- Dry</v>
          </cell>
          <cell r="F1489" t="str">
            <v>Conventional</v>
          </cell>
          <cell r="G1489">
            <v>0</v>
          </cell>
          <cell r="H1489" t="str">
            <v>Production;Unknown- Dry;Conventional</v>
          </cell>
          <cell r="I1489" t="str">
            <v>Unknown- Dry;Conventional;0;5</v>
          </cell>
          <cell r="J1489" t="str">
            <v>AB</v>
          </cell>
          <cell r="K1489" t="str">
            <v>Medium</v>
          </cell>
          <cell r="L1489">
            <v>192</v>
          </cell>
          <cell r="M1489">
            <v>1363.3666667</v>
          </cell>
        </row>
        <row r="1490">
          <cell r="A1490">
            <v>5</v>
          </cell>
          <cell r="B1490">
            <v>2001</v>
          </cell>
          <cell r="C1490">
            <v>1</v>
          </cell>
          <cell r="D1490" t="str">
            <v>Production</v>
          </cell>
          <cell r="E1490" t="str">
            <v>Unknown- Dry</v>
          </cell>
          <cell r="F1490" t="str">
            <v>Conventional</v>
          </cell>
          <cell r="G1490">
            <v>0</v>
          </cell>
          <cell r="H1490" t="str">
            <v>Production;Unknown- Dry;Conventional</v>
          </cell>
          <cell r="I1490" t="str">
            <v>Unknown- Dry;Conventional;0;5</v>
          </cell>
          <cell r="J1490" t="str">
            <v>AB</v>
          </cell>
          <cell r="K1490" t="str">
            <v>SHALLOW</v>
          </cell>
          <cell r="L1490">
            <v>147</v>
          </cell>
          <cell r="M1490">
            <v>601.29868739999995</v>
          </cell>
        </row>
        <row r="1491">
          <cell r="A1491">
            <v>5</v>
          </cell>
          <cell r="B1491">
            <v>2001</v>
          </cell>
          <cell r="C1491">
            <v>2</v>
          </cell>
          <cell r="D1491" t="str">
            <v>Production</v>
          </cell>
          <cell r="E1491" t="str">
            <v>Unknown- Dry</v>
          </cell>
          <cell r="F1491" t="str">
            <v>Conventional</v>
          </cell>
          <cell r="G1491">
            <v>0</v>
          </cell>
          <cell r="H1491" t="str">
            <v>Production;Unknown- Dry;Conventional</v>
          </cell>
          <cell r="I1491" t="str">
            <v>Unknown- Dry;Conventional;0;5</v>
          </cell>
          <cell r="J1491" t="str">
            <v>AB</v>
          </cell>
          <cell r="K1491" t="str">
            <v>DEEP</v>
          </cell>
          <cell r="L1491">
            <v>2</v>
          </cell>
          <cell r="M1491">
            <v>23</v>
          </cell>
        </row>
        <row r="1492">
          <cell r="A1492">
            <v>5</v>
          </cell>
          <cell r="B1492">
            <v>2002</v>
          </cell>
          <cell r="C1492">
            <v>1</v>
          </cell>
          <cell r="D1492" t="str">
            <v>Production</v>
          </cell>
          <cell r="E1492" t="str">
            <v>Unknown- Dry</v>
          </cell>
          <cell r="F1492" t="str">
            <v>Conventional</v>
          </cell>
          <cell r="G1492">
            <v>0</v>
          </cell>
          <cell r="H1492" t="str">
            <v>Production;Unknown- Dry;Conventional</v>
          </cell>
          <cell r="I1492" t="str">
            <v>Unknown- Dry;Conventional;0;5</v>
          </cell>
          <cell r="J1492" t="str">
            <v>AB</v>
          </cell>
          <cell r="K1492" t="str">
            <v>Deep</v>
          </cell>
          <cell r="L1492">
            <v>8</v>
          </cell>
          <cell r="M1492">
            <v>79</v>
          </cell>
        </row>
        <row r="1493">
          <cell r="A1493">
            <v>5</v>
          </cell>
          <cell r="B1493">
            <v>2002</v>
          </cell>
          <cell r="C1493">
            <v>1</v>
          </cell>
          <cell r="D1493" t="str">
            <v>Production</v>
          </cell>
          <cell r="E1493" t="str">
            <v>Unknown- Dry</v>
          </cell>
          <cell r="F1493" t="str">
            <v>Conventional</v>
          </cell>
          <cell r="G1493">
            <v>0</v>
          </cell>
          <cell r="H1493" t="str">
            <v>Production;Unknown- Dry;Conventional</v>
          </cell>
          <cell r="I1493" t="str">
            <v>Unknown- Dry;Conventional;0;5</v>
          </cell>
          <cell r="J1493" t="str">
            <v>AB</v>
          </cell>
          <cell r="K1493" t="str">
            <v>MEDIUM</v>
          </cell>
          <cell r="L1493">
            <v>119</v>
          </cell>
          <cell r="M1493">
            <v>900.83333300000004</v>
          </cell>
        </row>
        <row r="1494">
          <cell r="A1494">
            <v>5</v>
          </cell>
          <cell r="B1494">
            <v>2002</v>
          </cell>
          <cell r="C1494">
            <v>1</v>
          </cell>
          <cell r="D1494" t="str">
            <v>Production</v>
          </cell>
          <cell r="E1494" t="str">
            <v>Unknown- Dry</v>
          </cell>
          <cell r="F1494" t="str">
            <v>Conventional</v>
          </cell>
          <cell r="G1494">
            <v>0</v>
          </cell>
          <cell r="H1494" t="str">
            <v>Production;Unknown- Dry;Conventional</v>
          </cell>
          <cell r="I1494" t="str">
            <v>Unknown- Dry;Conventional;0;5</v>
          </cell>
          <cell r="J1494" t="str">
            <v>AB</v>
          </cell>
          <cell r="K1494" t="str">
            <v>Shallow</v>
          </cell>
          <cell r="L1494">
            <v>125</v>
          </cell>
          <cell r="M1494">
            <v>565.98571199999992</v>
          </cell>
        </row>
        <row r="1495">
          <cell r="A1495">
            <v>5</v>
          </cell>
          <cell r="B1495">
            <v>2002</v>
          </cell>
          <cell r="C1495">
            <v>2</v>
          </cell>
          <cell r="D1495" t="str">
            <v>Production</v>
          </cell>
          <cell r="E1495" t="str">
            <v>Unknown- Dry</v>
          </cell>
          <cell r="F1495" t="str">
            <v>Conventional</v>
          </cell>
          <cell r="G1495">
            <v>0</v>
          </cell>
          <cell r="H1495" t="str">
            <v>Production;Unknown- Dry;Conventional</v>
          </cell>
          <cell r="I1495" t="str">
            <v>Unknown- Dry;Conventional;0;5</v>
          </cell>
          <cell r="J1495" t="str">
            <v>AB</v>
          </cell>
          <cell r="K1495" t="str">
            <v>Shallow</v>
          </cell>
          <cell r="L1495">
            <v>2</v>
          </cell>
          <cell r="M1495">
            <v>17.5</v>
          </cell>
        </row>
        <row r="1496">
          <cell r="A1496">
            <v>5</v>
          </cell>
          <cell r="B1496">
            <v>2003</v>
          </cell>
          <cell r="C1496">
            <v>1</v>
          </cell>
          <cell r="D1496" t="str">
            <v>Production</v>
          </cell>
          <cell r="E1496" t="str">
            <v>Unknown- Dry</v>
          </cell>
          <cell r="F1496" t="str">
            <v>Conventional</v>
          </cell>
          <cell r="G1496">
            <v>0</v>
          </cell>
          <cell r="H1496" t="str">
            <v>Production;Unknown- Dry;Conventional</v>
          </cell>
          <cell r="I1496" t="str">
            <v>Unknown- Dry;Conventional;0;5</v>
          </cell>
          <cell r="J1496" t="str">
            <v>AB</v>
          </cell>
          <cell r="K1496" t="str">
            <v>Deep</v>
          </cell>
          <cell r="L1496">
            <v>9</v>
          </cell>
          <cell r="M1496">
            <v>119</v>
          </cell>
        </row>
        <row r="1497">
          <cell r="A1497">
            <v>5</v>
          </cell>
          <cell r="B1497">
            <v>2003</v>
          </cell>
          <cell r="C1497">
            <v>1</v>
          </cell>
          <cell r="D1497" t="str">
            <v>Production</v>
          </cell>
          <cell r="E1497" t="str">
            <v>Unknown- Dry</v>
          </cell>
          <cell r="F1497" t="str">
            <v>Conventional</v>
          </cell>
          <cell r="G1497">
            <v>0</v>
          </cell>
          <cell r="H1497" t="str">
            <v>Production;Unknown- Dry;Conventional</v>
          </cell>
          <cell r="I1497" t="str">
            <v>Unknown- Dry;Conventional;0;5</v>
          </cell>
          <cell r="J1497" t="str">
            <v>AB</v>
          </cell>
          <cell r="K1497" t="str">
            <v>Medium</v>
          </cell>
          <cell r="L1497">
            <v>130</v>
          </cell>
          <cell r="M1497">
            <v>988.63721050000004</v>
          </cell>
        </row>
        <row r="1498">
          <cell r="A1498">
            <v>5</v>
          </cell>
          <cell r="B1498">
            <v>2003</v>
          </cell>
          <cell r="C1498">
            <v>1</v>
          </cell>
          <cell r="D1498" t="str">
            <v>Production</v>
          </cell>
          <cell r="E1498" t="str">
            <v>Unknown- Dry</v>
          </cell>
          <cell r="F1498" t="str">
            <v>Conventional</v>
          </cell>
          <cell r="G1498">
            <v>0</v>
          </cell>
          <cell r="H1498" t="str">
            <v>Production;Unknown- Dry;Conventional</v>
          </cell>
          <cell r="I1498" t="str">
            <v>Unknown- Dry;Conventional;0;5</v>
          </cell>
          <cell r="J1498" t="str">
            <v>AB</v>
          </cell>
          <cell r="K1498" t="str">
            <v>Shallow</v>
          </cell>
          <cell r="L1498">
            <v>146</v>
          </cell>
          <cell r="M1498">
            <v>647.31904770000006</v>
          </cell>
        </row>
        <row r="1499">
          <cell r="A1499">
            <v>5</v>
          </cell>
          <cell r="B1499">
            <v>2003</v>
          </cell>
          <cell r="C1499">
            <v>2</v>
          </cell>
          <cell r="D1499" t="str">
            <v>Production</v>
          </cell>
          <cell r="E1499" t="str">
            <v>Unknown- Dry</v>
          </cell>
          <cell r="F1499" t="str">
            <v>Conventional</v>
          </cell>
          <cell r="G1499">
            <v>0</v>
          </cell>
          <cell r="H1499" t="str">
            <v>Production;Unknown- Dry;Conventional</v>
          </cell>
          <cell r="I1499" t="str">
            <v>Unknown- Dry;Conventional;0;5</v>
          </cell>
          <cell r="J1499" t="str">
            <v>AB</v>
          </cell>
          <cell r="K1499" t="str">
            <v>Medium</v>
          </cell>
          <cell r="L1499">
            <v>3</v>
          </cell>
          <cell r="M1499">
            <v>37</v>
          </cell>
        </row>
        <row r="1500">
          <cell r="A1500">
            <v>5</v>
          </cell>
          <cell r="B1500">
            <v>2003</v>
          </cell>
          <cell r="C1500">
            <v>2</v>
          </cell>
          <cell r="D1500" t="str">
            <v>Production</v>
          </cell>
          <cell r="E1500" t="str">
            <v>Unknown- Dry</v>
          </cell>
          <cell r="F1500" t="str">
            <v>Conventional</v>
          </cell>
          <cell r="G1500">
            <v>0</v>
          </cell>
          <cell r="H1500" t="str">
            <v>Production;Unknown- Dry;Conventional</v>
          </cell>
          <cell r="I1500" t="str">
            <v>Unknown- Dry;Conventional;0;5</v>
          </cell>
          <cell r="J1500" t="str">
            <v>AB</v>
          </cell>
          <cell r="K1500" t="str">
            <v>Shallow</v>
          </cell>
          <cell r="L1500">
            <v>1</v>
          </cell>
          <cell r="M1500">
            <v>6</v>
          </cell>
        </row>
        <row r="1501">
          <cell r="A1501">
            <v>5</v>
          </cell>
          <cell r="B1501">
            <v>2004</v>
          </cell>
          <cell r="C1501">
            <v>1</v>
          </cell>
          <cell r="D1501" t="str">
            <v>Production</v>
          </cell>
          <cell r="E1501" t="str">
            <v>Unknown- Dry</v>
          </cell>
          <cell r="F1501" t="str">
            <v>Conventional</v>
          </cell>
          <cell r="G1501">
            <v>0</v>
          </cell>
          <cell r="H1501" t="str">
            <v>Production;Unknown- Dry;Conventional</v>
          </cell>
          <cell r="I1501" t="str">
            <v>Unknown- Dry;Conventional;0;5</v>
          </cell>
          <cell r="J1501" t="str">
            <v>AB</v>
          </cell>
          <cell r="K1501" t="str">
            <v>Deep</v>
          </cell>
          <cell r="L1501">
            <v>10</v>
          </cell>
          <cell r="M1501">
            <v>90.666665999999992</v>
          </cell>
        </row>
        <row r="1502">
          <cell r="A1502">
            <v>5</v>
          </cell>
          <cell r="B1502">
            <v>2004</v>
          </cell>
          <cell r="C1502">
            <v>1</v>
          </cell>
          <cell r="D1502" t="str">
            <v>Production</v>
          </cell>
          <cell r="E1502" t="str">
            <v>Unknown- Dry</v>
          </cell>
          <cell r="F1502" t="str">
            <v>Conventional</v>
          </cell>
          <cell r="G1502">
            <v>0</v>
          </cell>
          <cell r="H1502" t="str">
            <v>Production;Unknown- Dry;Conventional</v>
          </cell>
          <cell r="I1502" t="str">
            <v>Unknown- Dry;Conventional;0;5</v>
          </cell>
          <cell r="J1502" t="str">
            <v>AB</v>
          </cell>
          <cell r="K1502" t="str">
            <v>Medium</v>
          </cell>
          <cell r="L1502">
            <v>121</v>
          </cell>
          <cell r="M1502">
            <v>1064.5</v>
          </cell>
        </row>
        <row r="1503">
          <cell r="A1503">
            <v>5</v>
          </cell>
          <cell r="B1503">
            <v>2004</v>
          </cell>
          <cell r="C1503">
            <v>1</v>
          </cell>
          <cell r="D1503" t="str">
            <v>Production</v>
          </cell>
          <cell r="E1503" t="str">
            <v>Unknown- Dry</v>
          </cell>
          <cell r="F1503" t="str">
            <v>Conventional</v>
          </cell>
          <cell r="G1503">
            <v>0</v>
          </cell>
          <cell r="H1503" t="str">
            <v>Production;Unknown- Dry;Conventional</v>
          </cell>
          <cell r="I1503" t="str">
            <v>Unknown- Dry;Conventional;0;5</v>
          </cell>
          <cell r="J1503" t="str">
            <v>AB</v>
          </cell>
          <cell r="K1503" t="str">
            <v>Shallow</v>
          </cell>
          <cell r="L1503">
            <v>132</v>
          </cell>
          <cell r="M1503">
            <v>617.46666269999992</v>
          </cell>
        </row>
        <row r="1504">
          <cell r="A1504">
            <v>5</v>
          </cell>
          <cell r="B1504">
            <v>2004</v>
          </cell>
          <cell r="C1504">
            <v>2</v>
          </cell>
          <cell r="D1504" t="str">
            <v>Production</v>
          </cell>
          <cell r="E1504" t="str">
            <v>Unknown- Dry</v>
          </cell>
          <cell r="F1504" t="str">
            <v>Conventional</v>
          </cell>
          <cell r="G1504">
            <v>0</v>
          </cell>
          <cell r="H1504" t="str">
            <v>Production;Unknown- Dry;Conventional</v>
          </cell>
          <cell r="I1504" t="str">
            <v>Unknown- Dry;Conventional;0;5</v>
          </cell>
          <cell r="J1504" t="str">
            <v>AB</v>
          </cell>
          <cell r="K1504" t="str">
            <v>Medium</v>
          </cell>
          <cell r="L1504">
            <v>1</v>
          </cell>
          <cell r="M1504">
            <v>4</v>
          </cell>
        </row>
        <row r="1505">
          <cell r="A1505">
            <v>5</v>
          </cell>
          <cell r="B1505">
            <v>2004</v>
          </cell>
          <cell r="C1505">
            <v>2</v>
          </cell>
          <cell r="D1505" t="str">
            <v>Production</v>
          </cell>
          <cell r="E1505" t="str">
            <v>Unknown- Dry</v>
          </cell>
          <cell r="F1505" t="str">
            <v>Conventional</v>
          </cell>
          <cell r="G1505">
            <v>0</v>
          </cell>
          <cell r="H1505" t="str">
            <v>Production;Unknown- Dry;Conventional</v>
          </cell>
          <cell r="I1505" t="str">
            <v>Unknown- Dry;Conventional;0;5</v>
          </cell>
          <cell r="J1505" t="str">
            <v>AB</v>
          </cell>
          <cell r="K1505" t="str">
            <v>Shallow</v>
          </cell>
          <cell r="L1505">
            <v>2</v>
          </cell>
          <cell r="M1505">
            <v>9</v>
          </cell>
        </row>
        <row r="1506">
          <cell r="A1506">
            <v>5</v>
          </cell>
          <cell r="B1506">
            <v>2005</v>
          </cell>
          <cell r="C1506">
            <v>1</v>
          </cell>
          <cell r="D1506" t="str">
            <v>Production</v>
          </cell>
          <cell r="E1506" t="str">
            <v>Unknown- Dry</v>
          </cell>
          <cell r="F1506" t="str">
            <v>Conventional</v>
          </cell>
          <cell r="G1506">
            <v>0</v>
          </cell>
          <cell r="H1506" t="str">
            <v>Production;Unknown- Dry;Conventional</v>
          </cell>
          <cell r="I1506" t="str">
            <v>Unknown- Dry;Conventional;0;5</v>
          </cell>
          <cell r="J1506" t="str">
            <v>AB</v>
          </cell>
          <cell r="K1506" t="str">
            <v>Deep</v>
          </cell>
          <cell r="L1506">
            <v>17</v>
          </cell>
          <cell r="M1506">
            <v>146.6999993</v>
          </cell>
        </row>
        <row r="1507">
          <cell r="A1507">
            <v>5</v>
          </cell>
          <cell r="B1507">
            <v>2005</v>
          </cell>
          <cell r="C1507">
            <v>1</v>
          </cell>
          <cell r="D1507" t="str">
            <v>Production</v>
          </cell>
          <cell r="E1507" t="str">
            <v>Unknown- Dry</v>
          </cell>
          <cell r="F1507" t="str">
            <v>Conventional</v>
          </cell>
          <cell r="G1507">
            <v>0</v>
          </cell>
          <cell r="H1507" t="str">
            <v>Production;Unknown- Dry;Conventional</v>
          </cell>
          <cell r="I1507" t="str">
            <v>Unknown- Dry;Conventional;0;5</v>
          </cell>
          <cell r="J1507" t="str">
            <v>AB</v>
          </cell>
          <cell r="K1507" t="str">
            <v>Medium</v>
          </cell>
          <cell r="L1507">
            <v>110</v>
          </cell>
          <cell r="M1507">
            <v>855.5</v>
          </cell>
        </row>
        <row r="1508">
          <cell r="A1508">
            <v>5</v>
          </cell>
          <cell r="B1508">
            <v>2005</v>
          </cell>
          <cell r="C1508">
            <v>1</v>
          </cell>
          <cell r="D1508" t="str">
            <v>Production</v>
          </cell>
          <cell r="E1508" t="str">
            <v>Unknown- Dry</v>
          </cell>
          <cell r="F1508" t="str">
            <v>Conventional</v>
          </cell>
          <cell r="G1508">
            <v>0</v>
          </cell>
          <cell r="H1508" t="str">
            <v>Production;Unknown- Dry;Conventional</v>
          </cell>
          <cell r="I1508" t="str">
            <v>Unknown- Dry;Conventional;0;5</v>
          </cell>
          <cell r="J1508" t="str">
            <v>AB</v>
          </cell>
          <cell r="K1508" t="str">
            <v>Shallow</v>
          </cell>
          <cell r="L1508">
            <v>154</v>
          </cell>
          <cell r="M1508">
            <v>687.12658739999995</v>
          </cell>
        </row>
        <row r="1509">
          <cell r="A1509">
            <v>5</v>
          </cell>
          <cell r="B1509">
            <v>2005</v>
          </cell>
          <cell r="C1509">
            <v>2</v>
          </cell>
          <cell r="D1509" t="str">
            <v>Production</v>
          </cell>
          <cell r="E1509" t="str">
            <v>Unknown- Dry</v>
          </cell>
          <cell r="F1509" t="str">
            <v>Conventional</v>
          </cell>
          <cell r="G1509">
            <v>0</v>
          </cell>
          <cell r="H1509" t="str">
            <v>Production;Unknown- Dry;Conventional</v>
          </cell>
          <cell r="I1509" t="str">
            <v>Unknown- Dry;Conventional;0;5</v>
          </cell>
          <cell r="J1509" t="str">
            <v>AB</v>
          </cell>
          <cell r="K1509" t="str">
            <v>Medium</v>
          </cell>
          <cell r="L1509">
            <v>1</v>
          </cell>
          <cell r="M1509">
            <v>1</v>
          </cell>
        </row>
        <row r="1510">
          <cell r="A1510">
            <v>5</v>
          </cell>
          <cell r="B1510">
            <v>2005</v>
          </cell>
          <cell r="C1510">
            <v>2</v>
          </cell>
          <cell r="D1510" t="str">
            <v>Production</v>
          </cell>
          <cell r="E1510" t="str">
            <v>Unknown- Dry</v>
          </cell>
          <cell r="F1510" t="str">
            <v>Conventional</v>
          </cell>
          <cell r="G1510">
            <v>0</v>
          </cell>
          <cell r="H1510" t="str">
            <v>Production;Unknown- Dry;Conventional</v>
          </cell>
          <cell r="I1510" t="str">
            <v>Unknown- Dry;Conventional;0;5</v>
          </cell>
          <cell r="J1510" t="str">
            <v>AB</v>
          </cell>
          <cell r="K1510" t="str">
            <v>Shallow</v>
          </cell>
          <cell r="L1510">
            <v>1</v>
          </cell>
          <cell r="M1510">
            <v>1</v>
          </cell>
        </row>
        <row r="1511">
          <cell r="A1511">
            <v>5</v>
          </cell>
          <cell r="B1511">
            <v>2006</v>
          </cell>
          <cell r="C1511">
            <v>1</v>
          </cell>
          <cell r="D1511" t="str">
            <v>Production</v>
          </cell>
          <cell r="E1511" t="str">
            <v>Unknown- Dry</v>
          </cell>
          <cell r="F1511" t="str">
            <v>Conventional</v>
          </cell>
          <cell r="G1511">
            <v>0</v>
          </cell>
          <cell r="H1511" t="str">
            <v>Production;Unknown- Dry;Conventional</v>
          </cell>
          <cell r="I1511" t="str">
            <v>Unknown- Dry;Conventional;0;5</v>
          </cell>
          <cell r="J1511" t="str">
            <v>AB</v>
          </cell>
          <cell r="K1511" t="str">
            <v>Deep</v>
          </cell>
          <cell r="L1511">
            <v>13</v>
          </cell>
          <cell r="M1511">
            <v>182.47619</v>
          </cell>
        </row>
        <row r="1512">
          <cell r="A1512">
            <v>5</v>
          </cell>
          <cell r="B1512">
            <v>2006</v>
          </cell>
          <cell r="C1512">
            <v>1</v>
          </cell>
          <cell r="D1512" t="str">
            <v>Production</v>
          </cell>
          <cell r="E1512" t="str">
            <v>Unknown- Dry</v>
          </cell>
          <cell r="F1512" t="str">
            <v>Conventional</v>
          </cell>
          <cell r="G1512">
            <v>0</v>
          </cell>
          <cell r="H1512" t="str">
            <v>Production;Unknown- Dry;Conventional</v>
          </cell>
          <cell r="I1512" t="str">
            <v>Unknown- Dry;Conventional;0;5</v>
          </cell>
          <cell r="J1512" t="str">
            <v>AB</v>
          </cell>
          <cell r="K1512" t="str">
            <v>Medium</v>
          </cell>
          <cell r="L1512">
            <v>89</v>
          </cell>
          <cell r="M1512">
            <v>723.33333300000004</v>
          </cell>
        </row>
        <row r="1513">
          <cell r="A1513">
            <v>5</v>
          </cell>
          <cell r="B1513">
            <v>2006</v>
          </cell>
          <cell r="C1513">
            <v>1</v>
          </cell>
          <cell r="D1513" t="str">
            <v>Production</v>
          </cell>
          <cell r="E1513" t="str">
            <v>Unknown- Dry</v>
          </cell>
          <cell r="F1513" t="str">
            <v>Conventional</v>
          </cell>
          <cell r="G1513">
            <v>0</v>
          </cell>
          <cell r="H1513" t="str">
            <v>Production;Unknown- Dry;Conventional</v>
          </cell>
          <cell r="I1513" t="str">
            <v>Unknown- Dry;Conventional;0;5</v>
          </cell>
          <cell r="J1513" t="str">
            <v>AB</v>
          </cell>
          <cell r="K1513" t="str">
            <v>Shallow</v>
          </cell>
          <cell r="L1513">
            <v>145</v>
          </cell>
          <cell r="M1513">
            <v>700.84697040000003</v>
          </cell>
        </row>
        <row r="1514">
          <cell r="A1514">
            <v>5</v>
          </cell>
          <cell r="B1514">
            <v>2006</v>
          </cell>
          <cell r="C1514">
            <v>2</v>
          </cell>
          <cell r="D1514" t="str">
            <v>Production</v>
          </cell>
          <cell r="E1514" t="str">
            <v>Unknown- Dry</v>
          </cell>
          <cell r="F1514" t="str">
            <v>Conventional</v>
          </cell>
          <cell r="G1514">
            <v>0</v>
          </cell>
          <cell r="H1514" t="str">
            <v>Production;Unknown- Dry;Conventional</v>
          </cell>
          <cell r="I1514" t="str">
            <v>Unknown- Dry;Conventional;0;5</v>
          </cell>
          <cell r="J1514" t="str">
            <v>AB</v>
          </cell>
          <cell r="K1514" t="str">
            <v>Medium</v>
          </cell>
          <cell r="L1514">
            <v>2</v>
          </cell>
          <cell r="M1514">
            <v>19</v>
          </cell>
        </row>
        <row r="1515">
          <cell r="A1515">
            <v>5</v>
          </cell>
          <cell r="B1515">
            <v>2006</v>
          </cell>
          <cell r="C1515">
            <v>2</v>
          </cell>
          <cell r="D1515" t="str">
            <v>Production</v>
          </cell>
          <cell r="E1515" t="str">
            <v>Unknown- Dry</v>
          </cell>
          <cell r="F1515" t="str">
            <v>Conventional</v>
          </cell>
          <cell r="G1515">
            <v>0</v>
          </cell>
          <cell r="H1515" t="str">
            <v>Production;Unknown- Dry;Conventional</v>
          </cell>
          <cell r="I1515" t="str">
            <v>Unknown- Dry;Conventional;0;5</v>
          </cell>
          <cell r="J1515" t="str">
            <v>AB</v>
          </cell>
          <cell r="K1515" t="str">
            <v>Shallow</v>
          </cell>
          <cell r="L1515">
            <v>1</v>
          </cell>
          <cell r="M1515">
            <v>1</v>
          </cell>
        </row>
        <row r="1516">
          <cell r="A1516">
            <v>5</v>
          </cell>
          <cell r="B1516">
            <v>2007</v>
          </cell>
          <cell r="C1516">
            <v>1</v>
          </cell>
          <cell r="D1516" t="str">
            <v>Production</v>
          </cell>
          <cell r="E1516" t="str">
            <v>Unknown- Dry</v>
          </cell>
          <cell r="F1516" t="str">
            <v>Conventional</v>
          </cell>
          <cell r="G1516">
            <v>0</v>
          </cell>
          <cell r="H1516" t="str">
            <v>Production;Unknown- Dry;Conventional</v>
          </cell>
          <cell r="I1516" t="str">
            <v>Unknown- Dry;Conventional;0;5</v>
          </cell>
          <cell r="J1516" t="str">
            <v>AB</v>
          </cell>
          <cell r="K1516" t="str">
            <v>Deep</v>
          </cell>
          <cell r="L1516">
            <v>2</v>
          </cell>
          <cell r="M1516">
            <v>25</v>
          </cell>
        </row>
        <row r="1517">
          <cell r="A1517">
            <v>5</v>
          </cell>
          <cell r="B1517">
            <v>2007</v>
          </cell>
          <cell r="C1517">
            <v>1</v>
          </cell>
          <cell r="D1517" t="str">
            <v>Production</v>
          </cell>
          <cell r="E1517" t="str">
            <v>Unknown- Dry</v>
          </cell>
          <cell r="F1517" t="str">
            <v>Conventional</v>
          </cell>
          <cell r="G1517">
            <v>0</v>
          </cell>
          <cell r="H1517" t="str">
            <v>Production;Unknown- Dry;Conventional</v>
          </cell>
          <cell r="I1517" t="str">
            <v>Unknown- Dry;Conventional;0;5</v>
          </cell>
          <cell r="J1517" t="str">
            <v>AB</v>
          </cell>
          <cell r="K1517" t="str">
            <v>Medium</v>
          </cell>
          <cell r="L1517">
            <v>22</v>
          </cell>
          <cell r="M1517">
            <v>191</v>
          </cell>
        </row>
        <row r="1518">
          <cell r="A1518">
            <v>5</v>
          </cell>
          <cell r="B1518">
            <v>2007</v>
          </cell>
          <cell r="C1518">
            <v>1</v>
          </cell>
          <cell r="D1518" t="str">
            <v>Production</v>
          </cell>
          <cell r="E1518" t="str">
            <v>Unknown- Dry</v>
          </cell>
          <cell r="F1518" t="str">
            <v>Conventional</v>
          </cell>
          <cell r="G1518">
            <v>0</v>
          </cell>
          <cell r="H1518" t="str">
            <v>Production;Unknown- Dry;Conventional</v>
          </cell>
          <cell r="I1518" t="str">
            <v>Unknown- Dry;Conventional;0;5</v>
          </cell>
          <cell r="J1518" t="str">
            <v>AB</v>
          </cell>
          <cell r="K1518" t="str">
            <v>Shallow</v>
          </cell>
          <cell r="L1518">
            <v>38</v>
          </cell>
          <cell r="M1518">
            <v>188</v>
          </cell>
        </row>
        <row r="1519">
          <cell r="A1519">
            <v>5</v>
          </cell>
          <cell r="B1519">
            <v>2007</v>
          </cell>
          <cell r="C1519">
            <v>2</v>
          </cell>
          <cell r="D1519" t="str">
            <v>Production</v>
          </cell>
          <cell r="E1519" t="str">
            <v>Unknown- Dry</v>
          </cell>
          <cell r="F1519" t="str">
            <v>Conventional</v>
          </cell>
          <cell r="G1519">
            <v>0</v>
          </cell>
          <cell r="H1519" t="str">
            <v>Production;Unknown- Dry;Conventional</v>
          </cell>
          <cell r="I1519" t="str">
            <v>Unknown- Dry;Conventional;0;5</v>
          </cell>
          <cell r="J1519" t="str">
            <v>AB</v>
          </cell>
          <cell r="K1519" t="str">
            <v>Medium</v>
          </cell>
          <cell r="L1519">
            <v>1</v>
          </cell>
          <cell r="M1519">
            <v>33</v>
          </cell>
        </row>
        <row r="1520">
          <cell r="A1520">
            <v>5</v>
          </cell>
          <cell r="B1520">
            <v>2007</v>
          </cell>
          <cell r="C1520">
            <v>2</v>
          </cell>
          <cell r="D1520" t="str">
            <v>Production</v>
          </cell>
          <cell r="E1520" t="str">
            <v>Unknown- Dry</v>
          </cell>
          <cell r="F1520" t="str">
            <v>Conventional</v>
          </cell>
          <cell r="G1520">
            <v>0</v>
          </cell>
          <cell r="H1520" t="str">
            <v>Production;Unknown- Dry;Conventional</v>
          </cell>
          <cell r="I1520" t="str">
            <v>Unknown- Dry;Conventional;0;5</v>
          </cell>
          <cell r="J1520" t="str">
            <v>AB</v>
          </cell>
          <cell r="K1520" t="str">
            <v>Shallow</v>
          </cell>
          <cell r="L1520">
            <v>1</v>
          </cell>
          <cell r="M1520">
            <v>2</v>
          </cell>
        </row>
        <row r="1521">
          <cell r="A1521">
            <v>6</v>
          </cell>
          <cell r="B1521">
            <v>2000</v>
          </cell>
          <cell r="C1521">
            <v>1</v>
          </cell>
          <cell r="D1521" t="str">
            <v>Production</v>
          </cell>
          <cell r="E1521" t="str">
            <v>Unknown- Dry</v>
          </cell>
          <cell r="F1521" t="str">
            <v>Conventional</v>
          </cell>
          <cell r="G1521">
            <v>0</v>
          </cell>
          <cell r="H1521" t="str">
            <v>Production;Unknown- Dry;Conventional</v>
          </cell>
          <cell r="I1521" t="str">
            <v>Unknown- Dry;Conventional;0;6</v>
          </cell>
          <cell r="J1521" t="str">
            <v>AB</v>
          </cell>
          <cell r="K1521" t="str">
            <v>Medium</v>
          </cell>
          <cell r="L1521">
            <v>13</v>
          </cell>
          <cell r="M1521">
            <v>55.985353000000003</v>
          </cell>
        </row>
        <row r="1522">
          <cell r="A1522">
            <v>6</v>
          </cell>
          <cell r="B1522">
            <v>2000</v>
          </cell>
          <cell r="C1522">
            <v>1</v>
          </cell>
          <cell r="D1522" t="str">
            <v>Production</v>
          </cell>
          <cell r="E1522" t="str">
            <v>Unknown- Dry</v>
          </cell>
          <cell r="F1522" t="str">
            <v>Conventional</v>
          </cell>
          <cell r="G1522">
            <v>0</v>
          </cell>
          <cell r="H1522" t="str">
            <v>Production;Unknown- Dry;Conventional</v>
          </cell>
          <cell r="I1522" t="str">
            <v>Unknown- Dry;Conventional;0;6</v>
          </cell>
          <cell r="J1522" t="str">
            <v>AB</v>
          </cell>
          <cell r="K1522" t="str">
            <v>Shallow</v>
          </cell>
          <cell r="L1522">
            <v>144</v>
          </cell>
          <cell r="M1522">
            <v>536.6643011000001</v>
          </cell>
        </row>
        <row r="1523">
          <cell r="A1523">
            <v>6</v>
          </cell>
          <cell r="B1523">
            <v>2000</v>
          </cell>
          <cell r="C1523">
            <v>2</v>
          </cell>
          <cell r="D1523" t="str">
            <v>Production</v>
          </cell>
          <cell r="E1523" t="str">
            <v>Unknown- Dry</v>
          </cell>
          <cell r="F1523" t="str">
            <v>Conventional</v>
          </cell>
          <cell r="G1523">
            <v>0</v>
          </cell>
          <cell r="H1523" t="str">
            <v>Production;Unknown- Dry;Conventional</v>
          </cell>
          <cell r="I1523" t="str">
            <v>Unknown- Dry;Conventional;0;6</v>
          </cell>
          <cell r="J1523" t="str">
            <v>AB</v>
          </cell>
          <cell r="K1523" t="str">
            <v>Shallow</v>
          </cell>
          <cell r="L1523">
            <v>1</v>
          </cell>
          <cell r="M1523">
            <v>3</v>
          </cell>
        </row>
        <row r="1524">
          <cell r="A1524">
            <v>6</v>
          </cell>
          <cell r="B1524">
            <v>2001</v>
          </cell>
          <cell r="C1524">
            <v>1</v>
          </cell>
          <cell r="D1524" t="str">
            <v>Production</v>
          </cell>
          <cell r="E1524" t="str">
            <v>Unknown- Dry</v>
          </cell>
          <cell r="F1524" t="str">
            <v>Conventional</v>
          </cell>
          <cell r="G1524">
            <v>0</v>
          </cell>
          <cell r="H1524" t="str">
            <v>Production;Unknown- Dry;Conventional</v>
          </cell>
          <cell r="I1524" t="str">
            <v>Unknown- Dry;Conventional;0;6</v>
          </cell>
          <cell r="J1524" t="str">
            <v>AB</v>
          </cell>
          <cell r="K1524" t="str">
            <v>Medium</v>
          </cell>
          <cell r="L1524">
            <v>5</v>
          </cell>
          <cell r="M1524">
            <v>63.833330000000004</v>
          </cell>
        </row>
        <row r="1525">
          <cell r="A1525">
            <v>6</v>
          </cell>
          <cell r="B1525">
            <v>2001</v>
          </cell>
          <cell r="C1525">
            <v>1</v>
          </cell>
          <cell r="D1525" t="str">
            <v>Production</v>
          </cell>
          <cell r="E1525" t="str">
            <v>Unknown- Dry</v>
          </cell>
          <cell r="F1525" t="str">
            <v>Conventional</v>
          </cell>
          <cell r="G1525">
            <v>0</v>
          </cell>
          <cell r="H1525" t="str">
            <v>Production;Unknown- Dry;Conventional</v>
          </cell>
          <cell r="I1525" t="str">
            <v>Unknown- Dry;Conventional;0;6</v>
          </cell>
          <cell r="J1525" t="str">
            <v>AB</v>
          </cell>
          <cell r="K1525" t="str">
            <v>SHALLOW</v>
          </cell>
          <cell r="L1525">
            <v>225</v>
          </cell>
          <cell r="M1525">
            <v>723.07876589999978</v>
          </cell>
        </row>
        <row r="1526">
          <cell r="A1526">
            <v>6</v>
          </cell>
          <cell r="B1526">
            <v>2002</v>
          </cell>
          <cell r="C1526">
            <v>1</v>
          </cell>
          <cell r="D1526" t="str">
            <v>Production</v>
          </cell>
          <cell r="E1526" t="str">
            <v>Unknown- Dry</v>
          </cell>
          <cell r="F1526" t="str">
            <v>Conventional</v>
          </cell>
          <cell r="G1526">
            <v>0</v>
          </cell>
          <cell r="H1526" t="str">
            <v>Production;Unknown- Dry;Conventional</v>
          </cell>
          <cell r="I1526" t="str">
            <v>Unknown- Dry;Conventional;0;6</v>
          </cell>
          <cell r="J1526" t="str">
            <v>AB</v>
          </cell>
          <cell r="K1526" t="str">
            <v>Medium</v>
          </cell>
          <cell r="L1526">
            <v>8</v>
          </cell>
          <cell r="M1526">
            <v>37.933332999999998</v>
          </cell>
        </row>
        <row r="1527">
          <cell r="A1527">
            <v>6</v>
          </cell>
          <cell r="B1527">
            <v>2002</v>
          </cell>
          <cell r="C1527">
            <v>1</v>
          </cell>
          <cell r="D1527" t="str">
            <v>Production</v>
          </cell>
          <cell r="E1527" t="str">
            <v>Unknown- Dry</v>
          </cell>
          <cell r="F1527" t="str">
            <v>Conventional</v>
          </cell>
          <cell r="G1527">
            <v>0</v>
          </cell>
          <cell r="H1527" t="str">
            <v>Production;Unknown- Dry;Conventional</v>
          </cell>
          <cell r="I1527" t="str">
            <v>Unknown- Dry;Conventional;0;6</v>
          </cell>
          <cell r="J1527" t="str">
            <v>AB</v>
          </cell>
          <cell r="K1527" t="str">
            <v>Shallow</v>
          </cell>
          <cell r="L1527">
            <v>110</v>
          </cell>
          <cell r="M1527">
            <v>610.21518729999991</v>
          </cell>
        </row>
        <row r="1528">
          <cell r="A1528">
            <v>6</v>
          </cell>
          <cell r="B1528">
            <v>2003</v>
          </cell>
          <cell r="C1528">
            <v>1</v>
          </cell>
          <cell r="D1528" t="str">
            <v>Production</v>
          </cell>
          <cell r="E1528" t="str">
            <v>Unknown- Dry</v>
          </cell>
          <cell r="F1528" t="str">
            <v>Conventional</v>
          </cell>
          <cell r="G1528">
            <v>0</v>
          </cell>
          <cell r="H1528" t="str">
            <v>Production;Unknown- Dry;Conventional</v>
          </cell>
          <cell r="I1528" t="str">
            <v>Unknown- Dry;Conventional;0;6</v>
          </cell>
          <cell r="J1528" t="str">
            <v>AB</v>
          </cell>
          <cell r="K1528" t="str">
            <v>Medium</v>
          </cell>
          <cell r="L1528">
            <v>4</v>
          </cell>
          <cell r="M1528">
            <v>18</v>
          </cell>
        </row>
        <row r="1529">
          <cell r="A1529">
            <v>6</v>
          </cell>
          <cell r="B1529">
            <v>2003</v>
          </cell>
          <cell r="C1529">
            <v>1</v>
          </cell>
          <cell r="D1529" t="str">
            <v>Production</v>
          </cell>
          <cell r="E1529" t="str">
            <v>Unknown- Dry</v>
          </cell>
          <cell r="F1529" t="str">
            <v>Conventional</v>
          </cell>
          <cell r="G1529">
            <v>0</v>
          </cell>
          <cell r="H1529" t="str">
            <v>Production;Unknown- Dry;Conventional</v>
          </cell>
          <cell r="I1529" t="str">
            <v>Unknown- Dry;Conventional;0;6</v>
          </cell>
          <cell r="J1529" t="str">
            <v>AB</v>
          </cell>
          <cell r="K1529" t="str">
            <v>Shallow</v>
          </cell>
          <cell r="L1529">
            <v>123</v>
          </cell>
          <cell r="M1529">
            <v>504.96662900000001</v>
          </cell>
        </row>
        <row r="1530">
          <cell r="A1530">
            <v>6</v>
          </cell>
          <cell r="B1530">
            <v>2004</v>
          </cell>
          <cell r="C1530">
            <v>1</v>
          </cell>
          <cell r="D1530" t="str">
            <v>Production</v>
          </cell>
          <cell r="E1530" t="str">
            <v>Unknown- Dry</v>
          </cell>
          <cell r="F1530" t="str">
            <v>Conventional</v>
          </cell>
          <cell r="G1530">
            <v>0</v>
          </cell>
          <cell r="H1530" t="str">
            <v>Production;Unknown- Dry;Conventional</v>
          </cell>
          <cell r="I1530" t="str">
            <v>Unknown- Dry;Conventional;0;6</v>
          </cell>
          <cell r="J1530" t="str">
            <v>AB</v>
          </cell>
          <cell r="K1530" t="str">
            <v>Deep</v>
          </cell>
          <cell r="L1530">
            <v>1</v>
          </cell>
          <cell r="M1530">
            <v>8</v>
          </cell>
        </row>
        <row r="1531">
          <cell r="A1531">
            <v>6</v>
          </cell>
          <cell r="B1531">
            <v>2004</v>
          </cell>
          <cell r="C1531">
            <v>1</v>
          </cell>
          <cell r="D1531" t="str">
            <v>Production</v>
          </cell>
          <cell r="E1531" t="str">
            <v>Unknown- Dry</v>
          </cell>
          <cell r="F1531" t="str">
            <v>Conventional</v>
          </cell>
          <cell r="G1531">
            <v>0</v>
          </cell>
          <cell r="H1531" t="str">
            <v>Production;Unknown- Dry;Conventional</v>
          </cell>
          <cell r="I1531" t="str">
            <v>Unknown- Dry;Conventional;0;6</v>
          </cell>
          <cell r="J1531" t="str">
            <v>AB</v>
          </cell>
          <cell r="K1531" t="str">
            <v>Medium</v>
          </cell>
          <cell r="L1531">
            <v>6</v>
          </cell>
          <cell r="M1531">
            <v>29.333333</v>
          </cell>
        </row>
        <row r="1532">
          <cell r="A1532">
            <v>6</v>
          </cell>
          <cell r="B1532">
            <v>2004</v>
          </cell>
          <cell r="C1532">
            <v>1</v>
          </cell>
          <cell r="D1532" t="str">
            <v>Production</v>
          </cell>
          <cell r="E1532" t="str">
            <v>Unknown- Dry</v>
          </cell>
          <cell r="F1532" t="str">
            <v>Conventional</v>
          </cell>
          <cell r="G1532">
            <v>0</v>
          </cell>
          <cell r="H1532" t="str">
            <v>Production;Unknown- Dry;Conventional</v>
          </cell>
          <cell r="I1532" t="str">
            <v>Unknown- Dry;Conventional;0;6</v>
          </cell>
          <cell r="J1532" t="str">
            <v>AB</v>
          </cell>
          <cell r="K1532" t="str">
            <v>Shallow</v>
          </cell>
          <cell r="L1532">
            <v>95</v>
          </cell>
          <cell r="M1532">
            <v>288.03452369999997</v>
          </cell>
        </row>
        <row r="1533">
          <cell r="A1533">
            <v>6</v>
          </cell>
          <cell r="B1533">
            <v>2005</v>
          </cell>
          <cell r="C1533">
            <v>1</v>
          </cell>
          <cell r="D1533" t="str">
            <v>Production</v>
          </cell>
          <cell r="E1533" t="str">
            <v>Unknown- Dry</v>
          </cell>
          <cell r="F1533" t="str">
            <v>Conventional</v>
          </cell>
          <cell r="G1533">
            <v>0</v>
          </cell>
          <cell r="H1533" t="str">
            <v>Production;Unknown- Dry;Conventional</v>
          </cell>
          <cell r="I1533" t="str">
            <v>Unknown- Dry;Conventional;0;6</v>
          </cell>
          <cell r="J1533" t="str">
            <v>AB</v>
          </cell>
          <cell r="K1533" t="str">
            <v>Deep</v>
          </cell>
          <cell r="L1533">
            <v>1</v>
          </cell>
          <cell r="M1533">
            <v>25</v>
          </cell>
        </row>
        <row r="1534">
          <cell r="A1534">
            <v>6</v>
          </cell>
          <cell r="B1534">
            <v>2005</v>
          </cell>
          <cell r="C1534">
            <v>1</v>
          </cell>
          <cell r="D1534" t="str">
            <v>Production</v>
          </cell>
          <cell r="E1534" t="str">
            <v>Unknown- Dry</v>
          </cell>
          <cell r="F1534" t="str">
            <v>Conventional</v>
          </cell>
          <cell r="G1534">
            <v>0</v>
          </cell>
          <cell r="H1534" t="str">
            <v>Production;Unknown- Dry;Conventional</v>
          </cell>
          <cell r="I1534" t="str">
            <v>Unknown- Dry;Conventional;0;6</v>
          </cell>
          <cell r="J1534" t="str">
            <v>AB</v>
          </cell>
          <cell r="K1534" t="str">
            <v>Medium</v>
          </cell>
          <cell r="L1534">
            <v>3</v>
          </cell>
          <cell r="M1534">
            <v>23.016666999999998</v>
          </cell>
        </row>
        <row r="1535">
          <cell r="A1535">
            <v>6</v>
          </cell>
          <cell r="B1535">
            <v>2005</v>
          </cell>
          <cell r="C1535">
            <v>1</v>
          </cell>
          <cell r="D1535" t="str">
            <v>Production</v>
          </cell>
          <cell r="E1535" t="str">
            <v>Unknown- Dry</v>
          </cell>
          <cell r="F1535" t="str">
            <v>Conventional</v>
          </cell>
          <cell r="G1535">
            <v>0</v>
          </cell>
          <cell r="H1535" t="str">
            <v>Production;Unknown- Dry;Conventional</v>
          </cell>
          <cell r="I1535" t="str">
            <v>Unknown- Dry;Conventional;0;6</v>
          </cell>
          <cell r="J1535" t="str">
            <v>AB</v>
          </cell>
          <cell r="K1535" t="str">
            <v>Shallow</v>
          </cell>
          <cell r="L1535">
            <v>93</v>
          </cell>
          <cell r="M1535">
            <v>348.24245180000008</v>
          </cell>
        </row>
        <row r="1536">
          <cell r="A1536">
            <v>6</v>
          </cell>
          <cell r="B1536">
            <v>2005</v>
          </cell>
          <cell r="C1536">
            <v>2</v>
          </cell>
          <cell r="D1536" t="str">
            <v>Production</v>
          </cell>
          <cell r="E1536" t="str">
            <v>Unknown- Dry</v>
          </cell>
          <cell r="F1536" t="str">
            <v>Conventional</v>
          </cell>
          <cell r="G1536">
            <v>0</v>
          </cell>
          <cell r="H1536" t="str">
            <v>Production;Unknown- Dry;Conventional</v>
          </cell>
          <cell r="I1536" t="str">
            <v>Unknown- Dry;Conventional;0;6</v>
          </cell>
          <cell r="J1536" t="str">
            <v>AB</v>
          </cell>
          <cell r="K1536" t="str">
            <v>Shallow</v>
          </cell>
          <cell r="L1536">
            <v>1</v>
          </cell>
          <cell r="M1536">
            <v>3</v>
          </cell>
        </row>
        <row r="1537">
          <cell r="A1537">
            <v>6</v>
          </cell>
          <cell r="B1537">
            <v>2006</v>
          </cell>
          <cell r="C1537">
            <v>1</v>
          </cell>
          <cell r="D1537" t="str">
            <v>Production</v>
          </cell>
          <cell r="E1537" t="str">
            <v>Unknown- Dry</v>
          </cell>
          <cell r="F1537" t="str">
            <v>Conventional</v>
          </cell>
          <cell r="G1537">
            <v>0</v>
          </cell>
          <cell r="H1537" t="str">
            <v>Production;Unknown- Dry;Conventional</v>
          </cell>
          <cell r="I1537" t="str">
            <v>Unknown- Dry;Conventional;0;6</v>
          </cell>
          <cell r="J1537" t="str">
            <v>AB</v>
          </cell>
          <cell r="K1537" t="str">
            <v>Medium</v>
          </cell>
          <cell r="L1537">
            <v>2</v>
          </cell>
          <cell r="M1537">
            <v>17.769019999999998</v>
          </cell>
        </row>
        <row r="1538">
          <cell r="A1538">
            <v>6</v>
          </cell>
          <cell r="B1538">
            <v>2006</v>
          </cell>
          <cell r="C1538">
            <v>1</v>
          </cell>
          <cell r="D1538" t="str">
            <v>Production</v>
          </cell>
          <cell r="E1538" t="str">
            <v>Unknown- Dry</v>
          </cell>
          <cell r="F1538" t="str">
            <v>Conventional</v>
          </cell>
          <cell r="G1538">
            <v>0</v>
          </cell>
          <cell r="H1538" t="str">
            <v>Production;Unknown- Dry;Conventional</v>
          </cell>
          <cell r="I1538" t="str">
            <v>Unknown- Dry;Conventional;0;6</v>
          </cell>
          <cell r="J1538" t="str">
            <v>AB</v>
          </cell>
          <cell r="K1538" t="str">
            <v>Shallow</v>
          </cell>
          <cell r="L1538">
            <v>117</v>
          </cell>
          <cell r="M1538">
            <v>457.26832559999997</v>
          </cell>
        </row>
        <row r="1539">
          <cell r="A1539">
            <v>6</v>
          </cell>
          <cell r="B1539">
            <v>2006</v>
          </cell>
          <cell r="C1539">
            <v>2</v>
          </cell>
          <cell r="D1539" t="str">
            <v>Production</v>
          </cell>
          <cell r="E1539" t="str">
            <v>Unknown- Dry</v>
          </cell>
          <cell r="F1539" t="str">
            <v>Conventional</v>
          </cell>
          <cell r="G1539">
            <v>0</v>
          </cell>
          <cell r="H1539" t="str">
            <v>Production;Unknown- Dry;Conventional</v>
          </cell>
          <cell r="I1539" t="str">
            <v>Unknown- Dry;Conventional;0;6</v>
          </cell>
          <cell r="J1539" t="str">
            <v>AB</v>
          </cell>
          <cell r="K1539" t="str">
            <v>Medium</v>
          </cell>
          <cell r="L1539">
            <v>1</v>
          </cell>
          <cell r="M1539">
            <v>1</v>
          </cell>
        </row>
        <row r="1540">
          <cell r="A1540">
            <v>6</v>
          </cell>
          <cell r="B1540">
            <v>2007</v>
          </cell>
          <cell r="C1540">
            <v>1</v>
          </cell>
          <cell r="D1540" t="str">
            <v>Production</v>
          </cell>
          <cell r="E1540" t="str">
            <v>Unknown- Dry</v>
          </cell>
          <cell r="F1540" t="str">
            <v>Conventional</v>
          </cell>
          <cell r="G1540">
            <v>0</v>
          </cell>
          <cell r="H1540" t="str">
            <v>Production;Unknown- Dry;Conventional</v>
          </cell>
          <cell r="I1540" t="str">
            <v>Unknown- Dry;Conventional;0;6</v>
          </cell>
          <cell r="J1540" t="str">
            <v>AB</v>
          </cell>
          <cell r="K1540" t="str">
            <v>Medium</v>
          </cell>
          <cell r="L1540">
            <v>1</v>
          </cell>
          <cell r="M1540">
            <v>2</v>
          </cell>
        </row>
        <row r="1541">
          <cell r="A1541">
            <v>6</v>
          </cell>
          <cell r="B1541">
            <v>2007</v>
          </cell>
          <cell r="C1541">
            <v>1</v>
          </cell>
          <cell r="D1541" t="str">
            <v>Production</v>
          </cell>
          <cell r="E1541" t="str">
            <v>Unknown- Dry</v>
          </cell>
          <cell r="F1541" t="str">
            <v>Conventional</v>
          </cell>
          <cell r="G1541">
            <v>0</v>
          </cell>
          <cell r="H1541" t="str">
            <v>Production;Unknown- Dry;Conventional</v>
          </cell>
          <cell r="I1541" t="str">
            <v>Unknown- Dry;Conventional;0;6</v>
          </cell>
          <cell r="J1541" t="str">
            <v>AB</v>
          </cell>
          <cell r="K1541" t="str">
            <v>Shallow</v>
          </cell>
          <cell r="L1541">
            <v>59</v>
          </cell>
          <cell r="M1541">
            <v>673.23329999999999</v>
          </cell>
        </row>
        <row r="1542">
          <cell r="A1542">
            <v>7</v>
          </cell>
          <cell r="B1542">
            <v>2000</v>
          </cell>
          <cell r="C1542">
            <v>1</v>
          </cell>
          <cell r="D1542" t="str">
            <v>Production</v>
          </cell>
          <cell r="E1542" t="str">
            <v>Unknown- Dry</v>
          </cell>
          <cell r="F1542" t="str">
            <v>Conventional</v>
          </cell>
          <cell r="G1542">
            <v>0</v>
          </cell>
          <cell r="H1542" t="str">
            <v>Production;Unknown- Dry;Conventional</v>
          </cell>
          <cell r="I1542" t="str">
            <v>Unknown- Dry;Conventional;0;7</v>
          </cell>
          <cell r="J1542" t="str">
            <v>AB</v>
          </cell>
          <cell r="K1542" t="str">
            <v>Deep</v>
          </cell>
          <cell r="L1542">
            <v>29</v>
          </cell>
          <cell r="M1542">
            <v>479.5</v>
          </cell>
        </row>
        <row r="1543">
          <cell r="A1543">
            <v>7</v>
          </cell>
          <cell r="B1543">
            <v>2000</v>
          </cell>
          <cell r="C1543">
            <v>1</v>
          </cell>
          <cell r="D1543" t="str">
            <v>Production</v>
          </cell>
          <cell r="E1543" t="str">
            <v>Unknown- Dry</v>
          </cell>
          <cell r="F1543" t="str">
            <v>Conventional</v>
          </cell>
          <cell r="G1543">
            <v>0</v>
          </cell>
          <cell r="H1543" t="str">
            <v>Production;Unknown- Dry;Conventional</v>
          </cell>
          <cell r="I1543" t="str">
            <v>Unknown- Dry;Conventional;0;7</v>
          </cell>
          <cell r="J1543" t="str">
            <v>AB</v>
          </cell>
          <cell r="K1543" t="str">
            <v>MEDIUM</v>
          </cell>
          <cell r="L1543">
            <v>239</v>
          </cell>
          <cell r="M1543">
            <v>2428.8845240000001</v>
          </cell>
        </row>
        <row r="1544">
          <cell r="A1544">
            <v>7</v>
          </cell>
          <cell r="B1544">
            <v>2000</v>
          </cell>
          <cell r="C1544">
            <v>1</v>
          </cell>
          <cell r="D1544" t="str">
            <v>Production</v>
          </cell>
          <cell r="E1544" t="str">
            <v>Unknown- Dry</v>
          </cell>
          <cell r="F1544" t="str">
            <v>Conventional</v>
          </cell>
          <cell r="G1544">
            <v>0</v>
          </cell>
          <cell r="H1544" t="str">
            <v>Production;Unknown- Dry;Conventional</v>
          </cell>
          <cell r="I1544" t="str">
            <v>Unknown- Dry;Conventional;0;7</v>
          </cell>
          <cell r="J1544" t="str">
            <v>AB</v>
          </cell>
          <cell r="K1544" t="str">
            <v>Shallow</v>
          </cell>
          <cell r="L1544">
            <v>215</v>
          </cell>
          <cell r="M1544">
            <v>980.28777029999992</v>
          </cell>
        </row>
        <row r="1545">
          <cell r="A1545">
            <v>7</v>
          </cell>
          <cell r="B1545">
            <v>2000</v>
          </cell>
          <cell r="C1545">
            <v>2</v>
          </cell>
          <cell r="D1545" t="str">
            <v>Production</v>
          </cell>
          <cell r="E1545" t="str">
            <v>Unknown- Dry</v>
          </cell>
          <cell r="F1545" t="str">
            <v>Conventional</v>
          </cell>
          <cell r="G1545">
            <v>0</v>
          </cell>
          <cell r="H1545" t="str">
            <v>Production;Unknown- Dry;Conventional</v>
          </cell>
          <cell r="I1545" t="str">
            <v>Unknown- Dry;Conventional;0;7</v>
          </cell>
          <cell r="J1545" t="str">
            <v>AB</v>
          </cell>
          <cell r="K1545" t="str">
            <v>Medium</v>
          </cell>
          <cell r="L1545">
            <v>2</v>
          </cell>
          <cell r="M1545">
            <v>27</v>
          </cell>
        </row>
        <row r="1546">
          <cell r="A1546">
            <v>7</v>
          </cell>
          <cell r="B1546">
            <v>2001</v>
          </cell>
          <cell r="C1546">
            <v>1</v>
          </cell>
          <cell r="D1546" t="str">
            <v>Production</v>
          </cell>
          <cell r="E1546" t="str">
            <v>Unknown- Dry</v>
          </cell>
          <cell r="F1546" t="str">
            <v>Conventional</v>
          </cell>
          <cell r="G1546">
            <v>0</v>
          </cell>
          <cell r="H1546" t="str">
            <v>Production;Unknown- Dry;Conventional</v>
          </cell>
          <cell r="I1546" t="str">
            <v>Unknown- Dry;Conventional;0;7</v>
          </cell>
          <cell r="J1546" t="str">
            <v>AB</v>
          </cell>
          <cell r="K1546" t="str">
            <v>Deep</v>
          </cell>
          <cell r="L1546">
            <v>22</v>
          </cell>
          <cell r="M1546">
            <v>505.16666700000002</v>
          </cell>
        </row>
        <row r="1547">
          <cell r="A1547">
            <v>7</v>
          </cell>
          <cell r="B1547">
            <v>2001</v>
          </cell>
          <cell r="C1547">
            <v>1</v>
          </cell>
          <cell r="D1547" t="str">
            <v>Production</v>
          </cell>
          <cell r="E1547" t="str">
            <v>Unknown- Dry</v>
          </cell>
          <cell r="F1547" t="str">
            <v>Conventional</v>
          </cell>
          <cell r="G1547">
            <v>0</v>
          </cell>
          <cell r="H1547" t="str">
            <v>Production;Unknown- Dry;Conventional</v>
          </cell>
          <cell r="I1547" t="str">
            <v>Unknown- Dry;Conventional;0;7</v>
          </cell>
          <cell r="J1547" t="str">
            <v>AB</v>
          </cell>
          <cell r="K1547" t="str">
            <v>MEDIUM</v>
          </cell>
          <cell r="L1547">
            <v>213</v>
          </cell>
          <cell r="M1547">
            <v>2315.9857146000004</v>
          </cell>
        </row>
        <row r="1548">
          <cell r="A1548">
            <v>7</v>
          </cell>
          <cell r="B1548">
            <v>2001</v>
          </cell>
          <cell r="C1548">
            <v>1</v>
          </cell>
          <cell r="D1548" t="str">
            <v>Production</v>
          </cell>
          <cell r="E1548" t="str">
            <v>Unknown- Dry</v>
          </cell>
          <cell r="F1548" t="str">
            <v>Conventional</v>
          </cell>
          <cell r="G1548">
            <v>0</v>
          </cell>
          <cell r="H1548" t="str">
            <v>Production;Unknown- Dry;Conventional</v>
          </cell>
          <cell r="I1548" t="str">
            <v>Unknown- Dry;Conventional;0;7</v>
          </cell>
          <cell r="J1548" t="str">
            <v>AB</v>
          </cell>
          <cell r="K1548" t="str">
            <v>Shallow</v>
          </cell>
          <cell r="L1548">
            <v>244</v>
          </cell>
          <cell r="M1548">
            <v>1105.6394300000002</v>
          </cell>
        </row>
        <row r="1549">
          <cell r="A1549">
            <v>7</v>
          </cell>
          <cell r="B1549">
            <v>2001</v>
          </cell>
          <cell r="C1549">
            <v>2</v>
          </cell>
          <cell r="D1549" t="str">
            <v>Production</v>
          </cell>
          <cell r="E1549" t="str">
            <v>Unknown- Dry</v>
          </cell>
          <cell r="F1549" t="str">
            <v>Conventional</v>
          </cell>
          <cell r="G1549">
            <v>0</v>
          </cell>
          <cell r="H1549" t="str">
            <v>Production;Unknown- Dry;Conventional</v>
          </cell>
          <cell r="I1549" t="str">
            <v>Unknown- Dry;Conventional;0;7</v>
          </cell>
          <cell r="J1549" t="str">
            <v>AB</v>
          </cell>
          <cell r="K1549" t="str">
            <v>Deep</v>
          </cell>
          <cell r="L1549">
            <v>2</v>
          </cell>
          <cell r="M1549">
            <v>21</v>
          </cell>
        </row>
        <row r="1550">
          <cell r="A1550">
            <v>7</v>
          </cell>
          <cell r="B1550">
            <v>2001</v>
          </cell>
          <cell r="C1550">
            <v>2</v>
          </cell>
          <cell r="D1550" t="str">
            <v>Production</v>
          </cell>
          <cell r="E1550" t="str">
            <v>Unknown- Dry</v>
          </cell>
          <cell r="F1550" t="str">
            <v>Conventional</v>
          </cell>
          <cell r="G1550">
            <v>0</v>
          </cell>
          <cell r="H1550" t="str">
            <v>Production;Unknown- Dry;Conventional</v>
          </cell>
          <cell r="I1550" t="str">
            <v>Unknown- Dry;Conventional;0;7</v>
          </cell>
          <cell r="J1550" t="str">
            <v>AB</v>
          </cell>
          <cell r="K1550" t="str">
            <v>MEDIUM</v>
          </cell>
          <cell r="L1550">
            <v>4</v>
          </cell>
          <cell r="M1550">
            <v>31</v>
          </cell>
        </row>
        <row r="1551">
          <cell r="A1551">
            <v>7</v>
          </cell>
          <cell r="B1551">
            <v>2002</v>
          </cell>
          <cell r="C1551">
            <v>1</v>
          </cell>
          <cell r="D1551" t="str">
            <v>Production</v>
          </cell>
          <cell r="E1551" t="str">
            <v>Unknown- Dry</v>
          </cell>
          <cell r="F1551" t="str">
            <v>Conventional</v>
          </cell>
          <cell r="G1551">
            <v>0</v>
          </cell>
          <cell r="H1551" t="str">
            <v>Production;Unknown- Dry;Conventional</v>
          </cell>
          <cell r="I1551" t="str">
            <v>Unknown- Dry;Conventional;0;7</v>
          </cell>
          <cell r="J1551" t="str">
            <v>AB</v>
          </cell>
          <cell r="K1551" t="str">
            <v>Deep</v>
          </cell>
          <cell r="L1551">
            <v>20</v>
          </cell>
          <cell r="M1551">
            <v>615.5</v>
          </cell>
        </row>
        <row r="1552">
          <cell r="A1552">
            <v>7</v>
          </cell>
          <cell r="B1552">
            <v>2002</v>
          </cell>
          <cell r="C1552">
            <v>1</v>
          </cell>
          <cell r="D1552" t="str">
            <v>Production</v>
          </cell>
          <cell r="E1552" t="str">
            <v>Unknown- Dry</v>
          </cell>
          <cell r="F1552" t="str">
            <v>Conventional</v>
          </cell>
          <cell r="G1552">
            <v>0</v>
          </cell>
          <cell r="H1552" t="str">
            <v>Production;Unknown- Dry;Conventional</v>
          </cell>
          <cell r="I1552" t="str">
            <v>Unknown- Dry;Conventional;0;7</v>
          </cell>
          <cell r="J1552" t="str">
            <v>AB</v>
          </cell>
          <cell r="K1552" t="str">
            <v>Medium</v>
          </cell>
          <cell r="L1552">
            <v>159</v>
          </cell>
          <cell r="M1552">
            <v>1983.3333339999999</v>
          </cell>
        </row>
        <row r="1553">
          <cell r="A1553">
            <v>7</v>
          </cell>
          <cell r="B1553">
            <v>2002</v>
          </cell>
          <cell r="C1553">
            <v>1</v>
          </cell>
          <cell r="D1553" t="str">
            <v>Production</v>
          </cell>
          <cell r="E1553" t="str">
            <v>Unknown- Dry</v>
          </cell>
          <cell r="F1553" t="str">
            <v>Conventional</v>
          </cell>
          <cell r="G1553">
            <v>0</v>
          </cell>
          <cell r="H1553" t="str">
            <v>Production;Unknown- Dry;Conventional</v>
          </cell>
          <cell r="I1553" t="str">
            <v>Unknown- Dry;Conventional;0;7</v>
          </cell>
          <cell r="J1553" t="str">
            <v>AB</v>
          </cell>
          <cell r="K1553" t="str">
            <v>Shallow</v>
          </cell>
          <cell r="L1553">
            <v>167</v>
          </cell>
          <cell r="M1553">
            <v>721.4468263</v>
          </cell>
        </row>
        <row r="1554">
          <cell r="A1554">
            <v>7</v>
          </cell>
          <cell r="B1554">
            <v>2002</v>
          </cell>
          <cell r="C1554">
            <v>2</v>
          </cell>
          <cell r="D1554" t="str">
            <v>Production</v>
          </cell>
          <cell r="E1554" t="str">
            <v>Unknown- Dry</v>
          </cell>
          <cell r="F1554" t="str">
            <v>Conventional</v>
          </cell>
          <cell r="G1554">
            <v>0</v>
          </cell>
          <cell r="H1554" t="str">
            <v>Production;Unknown- Dry;Conventional</v>
          </cell>
          <cell r="I1554" t="str">
            <v>Unknown- Dry;Conventional;0;7</v>
          </cell>
          <cell r="J1554" t="str">
            <v>AB</v>
          </cell>
          <cell r="K1554" t="str">
            <v>Medium</v>
          </cell>
          <cell r="L1554">
            <v>1</v>
          </cell>
          <cell r="M1554">
            <v>8</v>
          </cell>
        </row>
        <row r="1555">
          <cell r="A1555">
            <v>7</v>
          </cell>
          <cell r="B1555">
            <v>2002</v>
          </cell>
          <cell r="C1555">
            <v>2</v>
          </cell>
          <cell r="D1555" t="str">
            <v>Production</v>
          </cell>
          <cell r="E1555" t="str">
            <v>Unknown- Dry</v>
          </cell>
          <cell r="F1555" t="str">
            <v>Conventional</v>
          </cell>
          <cell r="G1555">
            <v>0</v>
          </cell>
          <cell r="H1555" t="str">
            <v>Production;Unknown- Dry;Conventional</v>
          </cell>
          <cell r="I1555" t="str">
            <v>Unknown- Dry;Conventional;0;7</v>
          </cell>
          <cell r="J1555" t="str">
            <v>AB</v>
          </cell>
          <cell r="K1555" t="str">
            <v>Shallow</v>
          </cell>
          <cell r="L1555">
            <v>1</v>
          </cell>
          <cell r="M1555">
            <v>6</v>
          </cell>
        </row>
        <row r="1556">
          <cell r="A1556">
            <v>7</v>
          </cell>
          <cell r="B1556">
            <v>2003</v>
          </cell>
          <cell r="C1556">
            <v>1</v>
          </cell>
          <cell r="D1556" t="str">
            <v>Production</v>
          </cell>
          <cell r="E1556" t="str">
            <v>Unknown- Dry</v>
          </cell>
          <cell r="F1556" t="str">
            <v>Conventional</v>
          </cell>
          <cell r="G1556">
            <v>0</v>
          </cell>
          <cell r="H1556" t="str">
            <v>Production;Unknown- Dry;Conventional</v>
          </cell>
          <cell r="I1556" t="str">
            <v>Unknown- Dry;Conventional;0;7</v>
          </cell>
          <cell r="J1556" t="str">
            <v>AB</v>
          </cell>
          <cell r="K1556" t="str">
            <v>Deep</v>
          </cell>
          <cell r="L1556">
            <v>22</v>
          </cell>
          <cell r="M1556">
            <v>403.5</v>
          </cell>
        </row>
        <row r="1557">
          <cell r="A1557">
            <v>7</v>
          </cell>
          <cell r="B1557">
            <v>2003</v>
          </cell>
          <cell r="C1557">
            <v>1</v>
          </cell>
          <cell r="D1557" t="str">
            <v>Production</v>
          </cell>
          <cell r="E1557" t="str">
            <v>Unknown- Dry</v>
          </cell>
          <cell r="F1557" t="str">
            <v>Conventional</v>
          </cell>
          <cell r="G1557">
            <v>0</v>
          </cell>
          <cell r="H1557" t="str">
            <v>Production;Unknown- Dry;Conventional</v>
          </cell>
          <cell r="I1557" t="str">
            <v>Unknown- Dry;Conventional;0;7</v>
          </cell>
          <cell r="J1557" t="str">
            <v>AB</v>
          </cell>
          <cell r="K1557" t="str">
            <v>Medium</v>
          </cell>
          <cell r="L1557">
            <v>182</v>
          </cell>
          <cell r="M1557">
            <v>2380.25</v>
          </cell>
        </row>
        <row r="1558">
          <cell r="A1558">
            <v>7</v>
          </cell>
          <cell r="B1558">
            <v>2003</v>
          </cell>
          <cell r="C1558">
            <v>1</v>
          </cell>
          <cell r="D1558" t="str">
            <v>Production</v>
          </cell>
          <cell r="E1558" t="str">
            <v>Unknown- Dry</v>
          </cell>
          <cell r="F1558" t="str">
            <v>Conventional</v>
          </cell>
          <cell r="G1558">
            <v>0</v>
          </cell>
          <cell r="H1558" t="str">
            <v>Production;Unknown- Dry;Conventional</v>
          </cell>
          <cell r="I1558" t="str">
            <v>Unknown- Dry;Conventional;0;7</v>
          </cell>
          <cell r="J1558" t="str">
            <v>AB</v>
          </cell>
          <cell r="K1558" t="str">
            <v>Shallow</v>
          </cell>
          <cell r="L1558">
            <v>187</v>
          </cell>
          <cell r="M1558">
            <v>925.70237000000009</v>
          </cell>
        </row>
        <row r="1559">
          <cell r="A1559">
            <v>7</v>
          </cell>
          <cell r="B1559">
            <v>2003</v>
          </cell>
          <cell r="C1559">
            <v>2</v>
          </cell>
          <cell r="D1559" t="str">
            <v>Production</v>
          </cell>
          <cell r="E1559" t="str">
            <v>Unknown- Dry</v>
          </cell>
          <cell r="F1559" t="str">
            <v>Conventional</v>
          </cell>
          <cell r="G1559">
            <v>0</v>
          </cell>
          <cell r="H1559" t="str">
            <v>Production;Unknown- Dry;Conventional</v>
          </cell>
          <cell r="I1559" t="str">
            <v>Unknown- Dry;Conventional;0;7</v>
          </cell>
          <cell r="J1559" t="str">
            <v>AB</v>
          </cell>
          <cell r="K1559" t="str">
            <v>Deep</v>
          </cell>
          <cell r="L1559">
            <v>1</v>
          </cell>
          <cell r="M1559">
            <v>6</v>
          </cell>
        </row>
        <row r="1560">
          <cell r="A1560">
            <v>7</v>
          </cell>
          <cell r="B1560">
            <v>2003</v>
          </cell>
          <cell r="C1560">
            <v>2</v>
          </cell>
          <cell r="D1560" t="str">
            <v>Production</v>
          </cell>
          <cell r="E1560" t="str">
            <v>Unknown- Dry</v>
          </cell>
          <cell r="F1560" t="str">
            <v>Conventional</v>
          </cell>
          <cell r="G1560">
            <v>0</v>
          </cell>
          <cell r="H1560" t="str">
            <v>Production;Unknown- Dry;Conventional</v>
          </cell>
          <cell r="I1560" t="str">
            <v>Unknown- Dry;Conventional;0;7</v>
          </cell>
          <cell r="J1560" t="str">
            <v>AB</v>
          </cell>
          <cell r="K1560" t="str">
            <v>Medium</v>
          </cell>
          <cell r="L1560">
            <v>2</v>
          </cell>
          <cell r="M1560">
            <v>29</v>
          </cell>
        </row>
        <row r="1561">
          <cell r="A1561">
            <v>7</v>
          </cell>
          <cell r="B1561">
            <v>2003</v>
          </cell>
          <cell r="C1561">
            <v>2</v>
          </cell>
          <cell r="D1561" t="str">
            <v>Production</v>
          </cell>
          <cell r="E1561" t="str">
            <v>Unknown- Dry</v>
          </cell>
          <cell r="F1561" t="str">
            <v>Conventional</v>
          </cell>
          <cell r="G1561">
            <v>0</v>
          </cell>
          <cell r="H1561" t="str">
            <v>Production;Unknown- Dry;Conventional</v>
          </cell>
          <cell r="I1561" t="str">
            <v>Unknown- Dry;Conventional;0;7</v>
          </cell>
          <cell r="J1561" t="str">
            <v>AB</v>
          </cell>
          <cell r="K1561" t="str">
            <v>Shallow</v>
          </cell>
          <cell r="L1561">
            <v>1</v>
          </cell>
          <cell r="M1561">
            <v>10</v>
          </cell>
        </row>
        <row r="1562">
          <cell r="A1562">
            <v>7</v>
          </cell>
          <cell r="B1562">
            <v>2004</v>
          </cell>
          <cell r="C1562">
            <v>1</v>
          </cell>
          <cell r="D1562" t="str">
            <v>Production</v>
          </cell>
          <cell r="E1562" t="str">
            <v>Unknown- Dry</v>
          </cell>
          <cell r="F1562" t="str">
            <v>Conventional</v>
          </cell>
          <cell r="G1562">
            <v>0</v>
          </cell>
          <cell r="H1562" t="str">
            <v>Production;Unknown- Dry;Conventional</v>
          </cell>
          <cell r="I1562" t="str">
            <v>Unknown- Dry;Conventional;0;7</v>
          </cell>
          <cell r="J1562" t="str">
            <v>AB</v>
          </cell>
          <cell r="K1562" t="str">
            <v>Deep</v>
          </cell>
          <cell r="L1562">
            <v>11</v>
          </cell>
          <cell r="M1562">
            <v>184.5</v>
          </cell>
        </row>
        <row r="1563">
          <cell r="A1563">
            <v>7</v>
          </cell>
          <cell r="B1563">
            <v>2004</v>
          </cell>
          <cell r="C1563">
            <v>1</v>
          </cell>
          <cell r="D1563" t="str">
            <v>Production</v>
          </cell>
          <cell r="E1563" t="str">
            <v>Unknown- Dry</v>
          </cell>
          <cell r="F1563" t="str">
            <v>Conventional</v>
          </cell>
          <cell r="G1563">
            <v>0</v>
          </cell>
          <cell r="H1563" t="str">
            <v>Production;Unknown- Dry;Conventional</v>
          </cell>
          <cell r="I1563" t="str">
            <v>Unknown- Dry;Conventional;0;7</v>
          </cell>
          <cell r="J1563" t="str">
            <v>AB</v>
          </cell>
          <cell r="K1563" t="str">
            <v>Medium</v>
          </cell>
          <cell r="L1563">
            <v>144</v>
          </cell>
          <cell r="M1563">
            <v>1345.8333339999999</v>
          </cell>
        </row>
        <row r="1564">
          <cell r="A1564">
            <v>7</v>
          </cell>
          <cell r="B1564">
            <v>2004</v>
          </cell>
          <cell r="C1564">
            <v>1</v>
          </cell>
          <cell r="D1564" t="str">
            <v>Production</v>
          </cell>
          <cell r="E1564" t="str">
            <v>Unknown- Dry</v>
          </cell>
          <cell r="F1564" t="str">
            <v>Conventional</v>
          </cell>
          <cell r="G1564">
            <v>0</v>
          </cell>
          <cell r="H1564" t="str">
            <v>Production;Unknown- Dry;Conventional</v>
          </cell>
          <cell r="I1564" t="str">
            <v>Unknown- Dry;Conventional;0;7</v>
          </cell>
          <cell r="J1564" t="str">
            <v>AB</v>
          </cell>
          <cell r="K1564" t="str">
            <v>Shallow</v>
          </cell>
          <cell r="L1564">
            <v>142</v>
          </cell>
          <cell r="M1564">
            <v>587.26564729999996</v>
          </cell>
        </row>
        <row r="1565">
          <cell r="A1565">
            <v>7</v>
          </cell>
          <cell r="B1565">
            <v>2004</v>
          </cell>
          <cell r="C1565">
            <v>2</v>
          </cell>
          <cell r="D1565" t="str">
            <v>Production</v>
          </cell>
          <cell r="E1565" t="str">
            <v>Unknown- Dry</v>
          </cell>
          <cell r="F1565" t="str">
            <v>Conventional</v>
          </cell>
          <cell r="G1565">
            <v>0</v>
          </cell>
          <cell r="H1565" t="str">
            <v>Production;Unknown- Dry;Conventional</v>
          </cell>
          <cell r="I1565" t="str">
            <v>Unknown- Dry;Conventional;0;7</v>
          </cell>
          <cell r="J1565" t="str">
            <v>AB</v>
          </cell>
          <cell r="K1565" t="str">
            <v>Medium</v>
          </cell>
          <cell r="L1565">
            <v>2</v>
          </cell>
          <cell r="M1565">
            <v>25</v>
          </cell>
        </row>
        <row r="1566">
          <cell r="A1566">
            <v>7</v>
          </cell>
          <cell r="B1566">
            <v>2005</v>
          </cell>
          <cell r="C1566">
            <v>1</v>
          </cell>
          <cell r="D1566" t="str">
            <v>Production</v>
          </cell>
          <cell r="E1566" t="str">
            <v>Unknown- Dry</v>
          </cell>
          <cell r="F1566" t="str">
            <v>Conventional</v>
          </cell>
          <cell r="G1566">
            <v>0</v>
          </cell>
          <cell r="H1566" t="str">
            <v>Production;Unknown- Dry;Conventional</v>
          </cell>
          <cell r="I1566" t="str">
            <v>Unknown- Dry;Conventional;0;7</v>
          </cell>
          <cell r="J1566" t="str">
            <v>AB</v>
          </cell>
          <cell r="K1566" t="str">
            <v>Deep</v>
          </cell>
          <cell r="L1566">
            <v>10</v>
          </cell>
          <cell r="M1566">
            <v>146</v>
          </cell>
        </row>
        <row r="1567">
          <cell r="A1567">
            <v>7</v>
          </cell>
          <cell r="B1567">
            <v>2005</v>
          </cell>
          <cell r="C1567">
            <v>1</v>
          </cell>
          <cell r="D1567" t="str">
            <v>Production</v>
          </cell>
          <cell r="E1567" t="str">
            <v>Unknown- Dry</v>
          </cell>
          <cell r="F1567" t="str">
            <v>Conventional</v>
          </cell>
          <cell r="G1567">
            <v>0</v>
          </cell>
          <cell r="H1567" t="str">
            <v>Production;Unknown- Dry;Conventional</v>
          </cell>
          <cell r="I1567" t="str">
            <v>Unknown- Dry;Conventional;0;7</v>
          </cell>
          <cell r="J1567" t="str">
            <v>AB</v>
          </cell>
          <cell r="K1567" t="str">
            <v>Medium</v>
          </cell>
          <cell r="L1567">
            <v>123</v>
          </cell>
          <cell r="M1567">
            <v>1303.5</v>
          </cell>
        </row>
        <row r="1568">
          <cell r="A1568">
            <v>7</v>
          </cell>
          <cell r="B1568">
            <v>2005</v>
          </cell>
          <cell r="C1568">
            <v>1</v>
          </cell>
          <cell r="D1568" t="str">
            <v>Production</v>
          </cell>
          <cell r="E1568" t="str">
            <v>Unknown- Dry</v>
          </cell>
          <cell r="F1568" t="str">
            <v>Conventional</v>
          </cell>
          <cell r="G1568">
            <v>0</v>
          </cell>
          <cell r="H1568" t="str">
            <v>Production;Unknown- Dry;Conventional</v>
          </cell>
          <cell r="I1568" t="str">
            <v>Unknown- Dry;Conventional;0;7</v>
          </cell>
          <cell r="J1568" t="str">
            <v>AB</v>
          </cell>
          <cell r="K1568" t="str">
            <v>Shallow</v>
          </cell>
          <cell r="L1568">
            <v>116</v>
          </cell>
          <cell r="M1568">
            <v>531.12864029999992</v>
          </cell>
        </row>
        <row r="1569">
          <cell r="A1569">
            <v>7</v>
          </cell>
          <cell r="B1569">
            <v>2005</v>
          </cell>
          <cell r="C1569">
            <v>2</v>
          </cell>
          <cell r="D1569" t="str">
            <v>Production</v>
          </cell>
          <cell r="E1569" t="str">
            <v>Unknown- Dry</v>
          </cell>
          <cell r="F1569" t="str">
            <v>Conventional</v>
          </cell>
          <cell r="G1569">
            <v>0</v>
          </cell>
          <cell r="H1569" t="str">
            <v>Production;Unknown- Dry;Conventional</v>
          </cell>
          <cell r="I1569" t="str">
            <v>Unknown- Dry;Conventional;0;7</v>
          </cell>
          <cell r="J1569" t="str">
            <v>AB</v>
          </cell>
          <cell r="K1569" t="str">
            <v>Shallow</v>
          </cell>
          <cell r="L1569">
            <v>2</v>
          </cell>
          <cell r="M1569">
            <v>10</v>
          </cell>
        </row>
        <row r="1570">
          <cell r="A1570">
            <v>7</v>
          </cell>
          <cell r="B1570">
            <v>2006</v>
          </cell>
          <cell r="C1570">
            <v>1</v>
          </cell>
          <cell r="D1570" t="str">
            <v>Production</v>
          </cell>
          <cell r="E1570" t="str">
            <v>Unknown- Dry</v>
          </cell>
          <cell r="F1570" t="str">
            <v>Conventional</v>
          </cell>
          <cell r="G1570">
            <v>0</v>
          </cell>
          <cell r="H1570" t="str">
            <v>Production;Unknown- Dry;Conventional</v>
          </cell>
          <cell r="I1570" t="str">
            <v>Unknown- Dry;Conventional;0;7</v>
          </cell>
          <cell r="J1570" t="str">
            <v>AB</v>
          </cell>
          <cell r="K1570" t="str">
            <v>Deep</v>
          </cell>
          <cell r="L1570">
            <v>10</v>
          </cell>
          <cell r="M1570">
            <v>163</v>
          </cell>
        </row>
        <row r="1571">
          <cell r="A1571">
            <v>7</v>
          </cell>
          <cell r="B1571">
            <v>2006</v>
          </cell>
          <cell r="C1571">
            <v>1</v>
          </cell>
          <cell r="D1571" t="str">
            <v>Production</v>
          </cell>
          <cell r="E1571" t="str">
            <v>Unknown- Dry</v>
          </cell>
          <cell r="F1571" t="str">
            <v>Conventional</v>
          </cell>
          <cell r="G1571">
            <v>0</v>
          </cell>
          <cell r="H1571" t="str">
            <v>Production;Unknown- Dry;Conventional</v>
          </cell>
          <cell r="I1571" t="str">
            <v>Unknown- Dry;Conventional;0;7</v>
          </cell>
          <cell r="J1571" t="str">
            <v>AB</v>
          </cell>
          <cell r="K1571" t="str">
            <v>Medium</v>
          </cell>
          <cell r="L1571">
            <v>95</v>
          </cell>
          <cell r="M1571">
            <v>1259.833333</v>
          </cell>
        </row>
        <row r="1572">
          <cell r="A1572">
            <v>7</v>
          </cell>
          <cell r="B1572">
            <v>2006</v>
          </cell>
          <cell r="C1572">
            <v>1</v>
          </cell>
          <cell r="D1572" t="str">
            <v>Production</v>
          </cell>
          <cell r="E1572" t="str">
            <v>Unknown- Dry</v>
          </cell>
          <cell r="F1572" t="str">
            <v>Conventional</v>
          </cell>
          <cell r="G1572">
            <v>0</v>
          </cell>
          <cell r="H1572" t="str">
            <v>Production;Unknown- Dry;Conventional</v>
          </cell>
          <cell r="I1572" t="str">
            <v>Unknown- Dry;Conventional;0;7</v>
          </cell>
          <cell r="J1572" t="str">
            <v>AB</v>
          </cell>
          <cell r="K1572" t="str">
            <v>Shallow</v>
          </cell>
          <cell r="L1572">
            <v>117</v>
          </cell>
          <cell r="M1572">
            <v>552.66190640000013</v>
          </cell>
        </row>
        <row r="1573">
          <cell r="A1573">
            <v>7</v>
          </cell>
          <cell r="B1573">
            <v>2006</v>
          </cell>
          <cell r="C1573">
            <v>2</v>
          </cell>
          <cell r="D1573" t="str">
            <v>Production</v>
          </cell>
          <cell r="E1573" t="str">
            <v>Unknown- Dry</v>
          </cell>
          <cell r="F1573" t="str">
            <v>Conventional</v>
          </cell>
          <cell r="G1573">
            <v>0</v>
          </cell>
          <cell r="H1573" t="str">
            <v>Production;Unknown- Dry;Conventional</v>
          </cell>
          <cell r="I1573" t="str">
            <v>Unknown- Dry;Conventional;0;7</v>
          </cell>
          <cell r="J1573" t="str">
            <v>AB</v>
          </cell>
          <cell r="K1573" t="str">
            <v>Medium</v>
          </cell>
          <cell r="L1573">
            <v>1</v>
          </cell>
          <cell r="M1573">
            <v>2</v>
          </cell>
        </row>
        <row r="1574">
          <cell r="A1574">
            <v>7</v>
          </cell>
          <cell r="B1574">
            <v>2006</v>
          </cell>
          <cell r="C1574">
            <v>2</v>
          </cell>
          <cell r="D1574" t="str">
            <v>Production</v>
          </cell>
          <cell r="E1574" t="str">
            <v>Unknown- Dry</v>
          </cell>
          <cell r="F1574" t="str">
            <v>Conventional</v>
          </cell>
          <cell r="G1574">
            <v>0</v>
          </cell>
          <cell r="H1574" t="str">
            <v>Production;Unknown- Dry;Conventional</v>
          </cell>
          <cell r="I1574" t="str">
            <v>Unknown- Dry;Conventional;0;7</v>
          </cell>
          <cell r="J1574" t="str">
            <v>AB</v>
          </cell>
          <cell r="K1574" t="str">
            <v>Shallow</v>
          </cell>
          <cell r="L1574">
            <v>1</v>
          </cell>
          <cell r="M1574">
            <v>13</v>
          </cell>
        </row>
        <row r="1575">
          <cell r="A1575">
            <v>7</v>
          </cell>
          <cell r="B1575">
            <v>2007</v>
          </cell>
          <cell r="C1575">
            <v>1</v>
          </cell>
          <cell r="D1575" t="str">
            <v>Production</v>
          </cell>
          <cell r="E1575" t="str">
            <v>Unknown- Dry</v>
          </cell>
          <cell r="F1575" t="str">
            <v>Conventional</v>
          </cell>
          <cell r="G1575">
            <v>0</v>
          </cell>
          <cell r="H1575" t="str">
            <v>Production;Unknown- Dry;Conventional</v>
          </cell>
          <cell r="I1575" t="str">
            <v>Unknown- Dry;Conventional;0;7</v>
          </cell>
          <cell r="J1575" t="str">
            <v>AB</v>
          </cell>
          <cell r="K1575" t="str">
            <v>Deep</v>
          </cell>
          <cell r="L1575">
            <v>6</v>
          </cell>
          <cell r="M1575">
            <v>81</v>
          </cell>
        </row>
        <row r="1576">
          <cell r="A1576">
            <v>7</v>
          </cell>
          <cell r="B1576">
            <v>2007</v>
          </cell>
          <cell r="C1576">
            <v>1</v>
          </cell>
          <cell r="D1576" t="str">
            <v>Production</v>
          </cell>
          <cell r="E1576" t="str">
            <v>Unknown- Dry</v>
          </cell>
          <cell r="F1576" t="str">
            <v>Conventional</v>
          </cell>
          <cell r="G1576">
            <v>0</v>
          </cell>
          <cell r="H1576" t="str">
            <v>Production;Unknown- Dry;Conventional</v>
          </cell>
          <cell r="I1576" t="str">
            <v>Unknown- Dry;Conventional;0;7</v>
          </cell>
          <cell r="J1576" t="str">
            <v>AB</v>
          </cell>
          <cell r="K1576" t="str">
            <v>Medium</v>
          </cell>
          <cell r="L1576">
            <v>44</v>
          </cell>
          <cell r="M1576">
            <v>647.5</v>
          </cell>
        </row>
        <row r="1577">
          <cell r="A1577">
            <v>7</v>
          </cell>
          <cell r="B1577">
            <v>2007</v>
          </cell>
          <cell r="C1577">
            <v>1</v>
          </cell>
          <cell r="D1577" t="str">
            <v>Production</v>
          </cell>
          <cell r="E1577" t="str">
            <v>Unknown- Dry</v>
          </cell>
          <cell r="F1577" t="str">
            <v>Conventional</v>
          </cell>
          <cell r="G1577">
            <v>0</v>
          </cell>
          <cell r="H1577" t="str">
            <v>Production;Unknown- Dry;Conventional</v>
          </cell>
          <cell r="I1577" t="str">
            <v>Unknown- Dry;Conventional;0;7</v>
          </cell>
          <cell r="J1577" t="str">
            <v>AB</v>
          </cell>
          <cell r="K1577" t="str">
            <v>Shallow</v>
          </cell>
          <cell r="L1577">
            <v>43</v>
          </cell>
          <cell r="M1577">
            <v>234</v>
          </cell>
        </row>
        <row r="1578">
          <cell r="A1578">
            <v>7</v>
          </cell>
          <cell r="B1578">
            <v>2007</v>
          </cell>
          <cell r="C1578">
            <v>2</v>
          </cell>
          <cell r="D1578" t="str">
            <v>Production</v>
          </cell>
          <cell r="E1578" t="str">
            <v>Unknown- Dry</v>
          </cell>
          <cell r="F1578" t="str">
            <v>Conventional</v>
          </cell>
          <cell r="G1578">
            <v>0</v>
          </cell>
          <cell r="H1578" t="str">
            <v>Production;Unknown- Dry;Conventional</v>
          </cell>
          <cell r="I1578" t="str">
            <v>Unknown- Dry;Conventional;0;7</v>
          </cell>
          <cell r="J1578" t="str">
            <v>AB</v>
          </cell>
          <cell r="K1578" t="str">
            <v>Deep</v>
          </cell>
          <cell r="L1578">
            <v>1</v>
          </cell>
          <cell r="M1578">
            <v>13</v>
          </cell>
        </row>
        <row r="1579">
          <cell r="A1579">
            <v>8</v>
          </cell>
          <cell r="B1579">
            <v>2000</v>
          </cell>
          <cell r="C1579">
            <v>1</v>
          </cell>
          <cell r="D1579" t="str">
            <v>Production</v>
          </cell>
          <cell r="E1579" t="str">
            <v>Unknown- Dry</v>
          </cell>
          <cell r="F1579" t="str">
            <v>Conventional</v>
          </cell>
          <cell r="G1579">
            <v>0</v>
          </cell>
          <cell r="H1579" t="str">
            <v>Production;Unknown- Dry;Conventional</v>
          </cell>
          <cell r="I1579" t="str">
            <v>Unknown- Dry;Conventional;0;8</v>
          </cell>
          <cell r="J1579" t="str">
            <v>BC</v>
          </cell>
          <cell r="K1579" t="str">
            <v>Deep</v>
          </cell>
          <cell r="L1579">
            <v>10</v>
          </cell>
          <cell r="M1579">
            <v>499</v>
          </cell>
        </row>
        <row r="1580">
          <cell r="A1580">
            <v>8</v>
          </cell>
          <cell r="B1580">
            <v>2000</v>
          </cell>
          <cell r="C1580">
            <v>1</v>
          </cell>
          <cell r="D1580" t="str">
            <v>Production</v>
          </cell>
          <cell r="E1580" t="str">
            <v>Unknown- Dry</v>
          </cell>
          <cell r="F1580" t="str">
            <v>Conventional</v>
          </cell>
          <cell r="G1580">
            <v>0</v>
          </cell>
          <cell r="H1580" t="str">
            <v>Production;Unknown- Dry;Conventional</v>
          </cell>
          <cell r="I1580" t="str">
            <v>Unknown- Dry;Conventional;0;8</v>
          </cell>
          <cell r="J1580" t="str">
            <v>BC</v>
          </cell>
          <cell r="K1580" t="str">
            <v>Medium</v>
          </cell>
          <cell r="L1580">
            <v>79</v>
          </cell>
          <cell r="M1580">
            <v>1378.2357139999999</v>
          </cell>
        </row>
        <row r="1581">
          <cell r="A1581">
            <v>8</v>
          </cell>
          <cell r="B1581">
            <v>2000</v>
          </cell>
          <cell r="C1581">
            <v>1</v>
          </cell>
          <cell r="D1581" t="str">
            <v>Production</v>
          </cell>
          <cell r="E1581" t="str">
            <v>Unknown- Dry</v>
          </cell>
          <cell r="F1581" t="str">
            <v>Conventional</v>
          </cell>
          <cell r="G1581">
            <v>0</v>
          </cell>
          <cell r="H1581" t="str">
            <v>Production;Unknown- Dry;Conventional</v>
          </cell>
          <cell r="I1581" t="str">
            <v>Unknown- Dry;Conventional;0;8</v>
          </cell>
          <cell r="J1581" t="str">
            <v>BC</v>
          </cell>
          <cell r="K1581" t="str">
            <v>Shallow</v>
          </cell>
          <cell r="L1581">
            <v>24</v>
          </cell>
          <cell r="M1581">
            <v>213</v>
          </cell>
        </row>
        <row r="1582">
          <cell r="A1582">
            <v>8</v>
          </cell>
          <cell r="B1582">
            <v>2000</v>
          </cell>
          <cell r="C1582">
            <v>2</v>
          </cell>
          <cell r="D1582" t="str">
            <v>Production</v>
          </cell>
          <cell r="E1582" t="str">
            <v>Unknown- Dry</v>
          </cell>
          <cell r="F1582" t="str">
            <v>Conventional</v>
          </cell>
          <cell r="G1582">
            <v>0</v>
          </cell>
          <cell r="H1582" t="str">
            <v>Production;Unknown- Dry;Conventional</v>
          </cell>
          <cell r="I1582" t="str">
            <v>Unknown- Dry;Conventional;0;8</v>
          </cell>
          <cell r="J1582" t="str">
            <v>BC</v>
          </cell>
          <cell r="K1582" t="str">
            <v>Deep</v>
          </cell>
          <cell r="L1582">
            <v>1</v>
          </cell>
          <cell r="M1582">
            <v>11.5</v>
          </cell>
        </row>
        <row r="1583">
          <cell r="A1583">
            <v>8</v>
          </cell>
          <cell r="B1583">
            <v>2001</v>
          </cell>
          <cell r="C1583">
            <v>1</v>
          </cell>
          <cell r="D1583" t="str">
            <v>Production</v>
          </cell>
          <cell r="E1583" t="str">
            <v>Unknown- Dry</v>
          </cell>
          <cell r="F1583" t="str">
            <v>Conventional</v>
          </cell>
          <cell r="G1583">
            <v>0</v>
          </cell>
          <cell r="H1583" t="str">
            <v>Production;Unknown- Dry;Conventional</v>
          </cell>
          <cell r="I1583" t="str">
            <v>Unknown- Dry;Conventional;0;8</v>
          </cell>
          <cell r="J1583" t="str">
            <v>BC</v>
          </cell>
          <cell r="K1583" t="str">
            <v>Deep</v>
          </cell>
          <cell r="L1583">
            <v>6</v>
          </cell>
          <cell r="M1583">
            <v>203</v>
          </cell>
        </row>
        <row r="1584">
          <cell r="A1584">
            <v>8</v>
          </cell>
          <cell r="B1584">
            <v>2001</v>
          </cell>
          <cell r="C1584">
            <v>1</v>
          </cell>
          <cell r="D1584" t="str">
            <v>Production</v>
          </cell>
          <cell r="E1584" t="str">
            <v>Unknown- Dry</v>
          </cell>
          <cell r="F1584" t="str">
            <v>Conventional</v>
          </cell>
          <cell r="G1584">
            <v>0</v>
          </cell>
          <cell r="H1584" t="str">
            <v>Production;Unknown- Dry;Conventional</v>
          </cell>
          <cell r="I1584" t="str">
            <v>Unknown- Dry;Conventional;0;8</v>
          </cell>
          <cell r="J1584" t="str">
            <v>BC</v>
          </cell>
          <cell r="K1584" t="str">
            <v>Medium</v>
          </cell>
          <cell r="L1584">
            <v>45</v>
          </cell>
          <cell r="M1584">
            <v>608.5</v>
          </cell>
        </row>
        <row r="1585">
          <cell r="A1585">
            <v>8</v>
          </cell>
          <cell r="B1585">
            <v>2001</v>
          </cell>
          <cell r="C1585">
            <v>1</v>
          </cell>
          <cell r="D1585" t="str">
            <v>Production</v>
          </cell>
          <cell r="E1585" t="str">
            <v>Unknown- Dry</v>
          </cell>
          <cell r="F1585" t="str">
            <v>Conventional</v>
          </cell>
          <cell r="G1585">
            <v>0</v>
          </cell>
          <cell r="H1585" t="str">
            <v>Production;Unknown- Dry;Conventional</v>
          </cell>
          <cell r="I1585" t="str">
            <v>Unknown- Dry;Conventional;0;8</v>
          </cell>
          <cell r="J1585" t="str">
            <v>BC</v>
          </cell>
          <cell r="K1585" t="str">
            <v>SHALLOW</v>
          </cell>
          <cell r="L1585">
            <v>17</v>
          </cell>
          <cell r="M1585">
            <v>132.75</v>
          </cell>
        </row>
        <row r="1586">
          <cell r="A1586">
            <v>8</v>
          </cell>
          <cell r="B1586">
            <v>2002</v>
          </cell>
          <cell r="C1586">
            <v>1</v>
          </cell>
          <cell r="D1586" t="str">
            <v>Production</v>
          </cell>
          <cell r="E1586" t="str">
            <v>Unknown- Dry</v>
          </cell>
          <cell r="F1586" t="str">
            <v>Conventional</v>
          </cell>
          <cell r="G1586">
            <v>0</v>
          </cell>
          <cell r="H1586" t="str">
            <v>Production;Unknown- Dry;Conventional</v>
          </cell>
          <cell r="I1586" t="str">
            <v>Unknown- Dry;Conventional;0;8</v>
          </cell>
          <cell r="J1586" t="str">
            <v>BC</v>
          </cell>
          <cell r="K1586" t="str">
            <v>Deep</v>
          </cell>
          <cell r="L1586">
            <v>14</v>
          </cell>
          <cell r="M1586">
            <v>592</v>
          </cell>
        </row>
        <row r="1587">
          <cell r="A1587">
            <v>8</v>
          </cell>
          <cell r="B1587">
            <v>2002</v>
          </cell>
          <cell r="C1587">
            <v>1</v>
          </cell>
          <cell r="D1587" t="str">
            <v>Production</v>
          </cell>
          <cell r="E1587" t="str">
            <v>Unknown- Dry</v>
          </cell>
          <cell r="F1587" t="str">
            <v>Conventional</v>
          </cell>
          <cell r="G1587">
            <v>0</v>
          </cell>
          <cell r="H1587" t="str">
            <v>Production;Unknown- Dry;Conventional</v>
          </cell>
          <cell r="I1587" t="str">
            <v>Unknown- Dry;Conventional;0;8</v>
          </cell>
          <cell r="J1587" t="str">
            <v>BC</v>
          </cell>
          <cell r="K1587" t="str">
            <v>MEDIUM</v>
          </cell>
          <cell r="L1587">
            <v>32</v>
          </cell>
          <cell r="M1587">
            <v>521.5</v>
          </cell>
        </row>
        <row r="1588">
          <cell r="A1588">
            <v>8</v>
          </cell>
          <cell r="B1588">
            <v>2002</v>
          </cell>
          <cell r="C1588">
            <v>1</v>
          </cell>
          <cell r="D1588" t="str">
            <v>Production</v>
          </cell>
          <cell r="E1588" t="str">
            <v>Unknown- Dry</v>
          </cell>
          <cell r="F1588" t="str">
            <v>Conventional</v>
          </cell>
          <cell r="G1588">
            <v>0</v>
          </cell>
          <cell r="H1588" t="str">
            <v>Production;Unknown- Dry;Conventional</v>
          </cell>
          <cell r="I1588" t="str">
            <v>Unknown- Dry;Conventional;0;8</v>
          </cell>
          <cell r="J1588" t="str">
            <v>BC</v>
          </cell>
          <cell r="K1588" t="str">
            <v>Shallow</v>
          </cell>
          <cell r="L1588">
            <v>15</v>
          </cell>
          <cell r="M1588">
            <v>89.5</v>
          </cell>
        </row>
        <row r="1589">
          <cell r="A1589">
            <v>8</v>
          </cell>
          <cell r="B1589">
            <v>2002</v>
          </cell>
          <cell r="C1589">
            <v>2</v>
          </cell>
          <cell r="D1589" t="str">
            <v>Production</v>
          </cell>
          <cell r="E1589" t="str">
            <v>Unknown- Dry</v>
          </cell>
          <cell r="F1589" t="str">
            <v>Conventional</v>
          </cell>
          <cell r="G1589">
            <v>0</v>
          </cell>
          <cell r="H1589" t="str">
            <v>Production;Unknown- Dry;Conventional</v>
          </cell>
          <cell r="I1589" t="str">
            <v>Unknown- Dry;Conventional;0;8</v>
          </cell>
          <cell r="J1589" t="str">
            <v>BC</v>
          </cell>
          <cell r="K1589" t="str">
            <v>Deep</v>
          </cell>
          <cell r="L1589">
            <v>1</v>
          </cell>
          <cell r="M1589">
            <v>53</v>
          </cell>
        </row>
        <row r="1590">
          <cell r="A1590">
            <v>8</v>
          </cell>
          <cell r="B1590">
            <v>2002</v>
          </cell>
          <cell r="C1590">
            <v>2</v>
          </cell>
          <cell r="D1590" t="str">
            <v>Production</v>
          </cell>
          <cell r="E1590" t="str">
            <v>Unknown- Dry</v>
          </cell>
          <cell r="F1590" t="str">
            <v>Conventional</v>
          </cell>
          <cell r="G1590">
            <v>0</v>
          </cell>
          <cell r="H1590" t="str">
            <v>Production;Unknown- Dry;Conventional</v>
          </cell>
          <cell r="I1590" t="str">
            <v>Unknown- Dry;Conventional;0;8</v>
          </cell>
          <cell r="J1590" t="str">
            <v>BC</v>
          </cell>
          <cell r="K1590" t="str">
            <v>Medium</v>
          </cell>
          <cell r="L1590">
            <v>1</v>
          </cell>
          <cell r="M1590">
            <v>3</v>
          </cell>
        </row>
        <row r="1591">
          <cell r="A1591">
            <v>8</v>
          </cell>
          <cell r="B1591">
            <v>2003</v>
          </cell>
          <cell r="C1591">
            <v>1</v>
          </cell>
          <cell r="D1591" t="str">
            <v>Production</v>
          </cell>
          <cell r="E1591" t="str">
            <v>Unknown- Dry</v>
          </cell>
          <cell r="F1591" t="str">
            <v>Conventional</v>
          </cell>
          <cell r="G1591">
            <v>0</v>
          </cell>
          <cell r="H1591" t="str">
            <v>Production;Unknown- Dry;Conventional</v>
          </cell>
          <cell r="I1591" t="str">
            <v>Unknown- Dry;Conventional;0;8</v>
          </cell>
          <cell r="J1591" t="str">
            <v>BC</v>
          </cell>
          <cell r="K1591" t="str">
            <v>Deep</v>
          </cell>
          <cell r="L1591">
            <v>19</v>
          </cell>
          <cell r="M1591">
            <v>1016</v>
          </cell>
        </row>
        <row r="1592">
          <cell r="A1592">
            <v>8</v>
          </cell>
          <cell r="B1592">
            <v>2003</v>
          </cell>
          <cell r="C1592">
            <v>1</v>
          </cell>
          <cell r="D1592" t="str">
            <v>Production</v>
          </cell>
          <cell r="E1592" t="str">
            <v>Unknown- Dry</v>
          </cell>
          <cell r="F1592" t="str">
            <v>Conventional</v>
          </cell>
          <cell r="G1592">
            <v>0</v>
          </cell>
          <cell r="H1592" t="str">
            <v>Production;Unknown- Dry;Conventional</v>
          </cell>
          <cell r="I1592" t="str">
            <v>Unknown- Dry;Conventional;0;8</v>
          </cell>
          <cell r="J1592" t="str">
            <v>BC</v>
          </cell>
          <cell r="K1592" t="str">
            <v>Medium</v>
          </cell>
          <cell r="L1592">
            <v>35</v>
          </cell>
          <cell r="M1592">
            <v>493</v>
          </cell>
        </row>
        <row r="1593">
          <cell r="A1593">
            <v>8</v>
          </cell>
          <cell r="B1593">
            <v>2003</v>
          </cell>
          <cell r="C1593">
            <v>1</v>
          </cell>
          <cell r="D1593" t="str">
            <v>Production</v>
          </cell>
          <cell r="E1593" t="str">
            <v>Unknown- Dry</v>
          </cell>
          <cell r="F1593" t="str">
            <v>Conventional</v>
          </cell>
          <cell r="G1593">
            <v>0</v>
          </cell>
          <cell r="H1593" t="str">
            <v>Production;Unknown- Dry;Conventional</v>
          </cell>
          <cell r="I1593" t="str">
            <v>Unknown- Dry;Conventional;0;8</v>
          </cell>
          <cell r="J1593" t="str">
            <v>BC</v>
          </cell>
          <cell r="K1593" t="str">
            <v>Shallow</v>
          </cell>
          <cell r="L1593">
            <v>13</v>
          </cell>
          <cell r="M1593">
            <v>96</v>
          </cell>
        </row>
        <row r="1594">
          <cell r="A1594">
            <v>8</v>
          </cell>
          <cell r="B1594">
            <v>2004</v>
          </cell>
          <cell r="C1594">
            <v>1</v>
          </cell>
          <cell r="D1594" t="str">
            <v>Production</v>
          </cell>
          <cell r="E1594" t="str">
            <v>Unknown- Dry</v>
          </cell>
          <cell r="F1594" t="str">
            <v>Conventional</v>
          </cell>
          <cell r="G1594">
            <v>0</v>
          </cell>
          <cell r="H1594" t="str">
            <v>Production;Unknown- Dry;Conventional</v>
          </cell>
          <cell r="I1594" t="str">
            <v>Unknown- Dry;Conventional;0;8</v>
          </cell>
          <cell r="J1594" t="str">
            <v>BC</v>
          </cell>
          <cell r="K1594" t="str">
            <v>Deep</v>
          </cell>
          <cell r="L1594">
            <v>10</v>
          </cell>
          <cell r="M1594">
            <v>533.5</v>
          </cell>
        </row>
        <row r="1595">
          <cell r="A1595">
            <v>8</v>
          </cell>
          <cell r="B1595">
            <v>2004</v>
          </cell>
          <cell r="C1595">
            <v>1</v>
          </cell>
          <cell r="D1595" t="str">
            <v>Production</v>
          </cell>
          <cell r="E1595" t="str">
            <v>Unknown- Dry</v>
          </cell>
          <cell r="F1595" t="str">
            <v>Conventional</v>
          </cell>
          <cell r="G1595">
            <v>0</v>
          </cell>
          <cell r="H1595" t="str">
            <v>Production;Unknown- Dry;Conventional</v>
          </cell>
          <cell r="I1595" t="str">
            <v>Unknown- Dry;Conventional;0;8</v>
          </cell>
          <cell r="J1595" t="str">
            <v>BC</v>
          </cell>
          <cell r="K1595" t="str">
            <v>Medium</v>
          </cell>
          <cell r="L1595">
            <v>30</v>
          </cell>
          <cell r="M1595">
            <v>435</v>
          </cell>
        </row>
        <row r="1596">
          <cell r="A1596">
            <v>8</v>
          </cell>
          <cell r="B1596">
            <v>2004</v>
          </cell>
          <cell r="C1596">
            <v>1</v>
          </cell>
          <cell r="D1596" t="str">
            <v>Production</v>
          </cell>
          <cell r="E1596" t="str">
            <v>Unknown- Dry</v>
          </cell>
          <cell r="F1596" t="str">
            <v>Conventional</v>
          </cell>
          <cell r="G1596">
            <v>0</v>
          </cell>
          <cell r="H1596" t="str">
            <v>Production;Unknown- Dry;Conventional</v>
          </cell>
          <cell r="I1596" t="str">
            <v>Unknown- Dry;Conventional;0;8</v>
          </cell>
          <cell r="J1596" t="str">
            <v>BC</v>
          </cell>
          <cell r="K1596" t="str">
            <v>Shallow</v>
          </cell>
          <cell r="L1596">
            <v>15</v>
          </cell>
          <cell r="M1596">
            <v>221.16667300000003</v>
          </cell>
        </row>
        <row r="1597">
          <cell r="A1597">
            <v>8</v>
          </cell>
          <cell r="B1597">
            <v>2005</v>
          </cell>
          <cell r="C1597">
            <v>1</v>
          </cell>
          <cell r="D1597" t="str">
            <v>Production</v>
          </cell>
          <cell r="E1597" t="str">
            <v>Unknown- Dry</v>
          </cell>
          <cell r="F1597" t="str">
            <v>Conventional</v>
          </cell>
          <cell r="G1597">
            <v>0</v>
          </cell>
          <cell r="H1597" t="str">
            <v>Production;Unknown- Dry;Conventional</v>
          </cell>
          <cell r="I1597" t="str">
            <v>Unknown- Dry;Conventional;0;8</v>
          </cell>
          <cell r="J1597" t="str">
            <v>BC</v>
          </cell>
          <cell r="K1597" t="str">
            <v>Deep</v>
          </cell>
          <cell r="L1597">
            <v>10</v>
          </cell>
          <cell r="M1597">
            <v>432.5</v>
          </cell>
        </row>
        <row r="1598">
          <cell r="A1598">
            <v>8</v>
          </cell>
          <cell r="B1598">
            <v>2005</v>
          </cell>
          <cell r="C1598">
            <v>1</v>
          </cell>
          <cell r="D1598" t="str">
            <v>Production</v>
          </cell>
          <cell r="E1598" t="str">
            <v>Unknown- Dry</v>
          </cell>
          <cell r="F1598" t="str">
            <v>Conventional</v>
          </cell>
          <cell r="G1598">
            <v>0</v>
          </cell>
          <cell r="H1598" t="str">
            <v>Production;Unknown- Dry;Conventional</v>
          </cell>
          <cell r="I1598" t="str">
            <v>Unknown- Dry;Conventional;0;8</v>
          </cell>
          <cell r="J1598" t="str">
            <v>BC</v>
          </cell>
          <cell r="K1598" t="str">
            <v>Medium</v>
          </cell>
          <cell r="L1598">
            <v>24</v>
          </cell>
          <cell r="M1598">
            <v>333.33333300000004</v>
          </cell>
        </row>
        <row r="1599">
          <cell r="A1599">
            <v>8</v>
          </cell>
          <cell r="B1599">
            <v>2005</v>
          </cell>
          <cell r="C1599">
            <v>1</v>
          </cell>
          <cell r="D1599" t="str">
            <v>Production</v>
          </cell>
          <cell r="E1599" t="str">
            <v>Unknown- Dry</v>
          </cell>
          <cell r="F1599" t="str">
            <v>Conventional</v>
          </cell>
          <cell r="G1599">
            <v>0</v>
          </cell>
          <cell r="H1599" t="str">
            <v>Production;Unknown- Dry;Conventional</v>
          </cell>
          <cell r="I1599" t="str">
            <v>Unknown- Dry;Conventional;0;8</v>
          </cell>
          <cell r="J1599" t="str">
            <v>BC</v>
          </cell>
          <cell r="K1599" t="str">
            <v>Shallow</v>
          </cell>
          <cell r="L1599">
            <v>18</v>
          </cell>
          <cell r="M1599">
            <v>136</v>
          </cell>
        </row>
        <row r="1600">
          <cell r="A1600">
            <v>8</v>
          </cell>
          <cell r="B1600">
            <v>2005</v>
          </cell>
          <cell r="C1600">
            <v>2</v>
          </cell>
          <cell r="D1600" t="str">
            <v>Production</v>
          </cell>
          <cell r="E1600" t="str">
            <v>Unknown- Dry</v>
          </cell>
          <cell r="F1600" t="str">
            <v>Conventional</v>
          </cell>
          <cell r="G1600">
            <v>0</v>
          </cell>
          <cell r="H1600" t="str">
            <v>Production;Unknown- Dry;Conventional</v>
          </cell>
          <cell r="I1600" t="str">
            <v>Unknown- Dry;Conventional;0;8</v>
          </cell>
          <cell r="J1600" t="str">
            <v>BC</v>
          </cell>
          <cell r="K1600" t="str">
            <v>Deep</v>
          </cell>
          <cell r="L1600">
            <v>1</v>
          </cell>
          <cell r="M1600">
            <v>64.5</v>
          </cell>
        </row>
        <row r="1601">
          <cell r="A1601">
            <v>8</v>
          </cell>
          <cell r="B1601">
            <v>2006</v>
          </cell>
          <cell r="C1601">
            <v>1</v>
          </cell>
          <cell r="D1601" t="str">
            <v>Production</v>
          </cell>
          <cell r="E1601" t="str">
            <v>Unknown- Dry</v>
          </cell>
          <cell r="F1601" t="str">
            <v>Conventional</v>
          </cell>
          <cell r="G1601">
            <v>0</v>
          </cell>
          <cell r="H1601" t="str">
            <v>Production;Unknown- Dry;Conventional</v>
          </cell>
          <cell r="I1601" t="str">
            <v>Unknown- Dry;Conventional;0;8</v>
          </cell>
          <cell r="J1601" t="str">
            <v>BC</v>
          </cell>
          <cell r="K1601" t="str">
            <v>Deep</v>
          </cell>
          <cell r="L1601">
            <v>4</v>
          </cell>
          <cell r="M1601">
            <v>66</v>
          </cell>
        </row>
        <row r="1602">
          <cell r="A1602">
            <v>8</v>
          </cell>
          <cell r="B1602">
            <v>2006</v>
          </cell>
          <cell r="C1602">
            <v>1</v>
          </cell>
          <cell r="D1602" t="str">
            <v>Production</v>
          </cell>
          <cell r="E1602" t="str">
            <v>Unknown- Dry</v>
          </cell>
          <cell r="F1602" t="str">
            <v>Conventional</v>
          </cell>
          <cell r="G1602">
            <v>0</v>
          </cell>
          <cell r="H1602" t="str">
            <v>Production;Unknown- Dry;Conventional</v>
          </cell>
          <cell r="I1602" t="str">
            <v>Unknown- Dry;Conventional;0;8</v>
          </cell>
          <cell r="J1602" t="str">
            <v>BC</v>
          </cell>
          <cell r="K1602" t="str">
            <v>Medium</v>
          </cell>
          <cell r="L1602">
            <v>23</v>
          </cell>
          <cell r="M1602">
            <v>271</v>
          </cell>
        </row>
        <row r="1603">
          <cell r="A1603">
            <v>8</v>
          </cell>
          <cell r="B1603">
            <v>2006</v>
          </cell>
          <cell r="C1603">
            <v>1</v>
          </cell>
          <cell r="D1603" t="str">
            <v>Production</v>
          </cell>
          <cell r="E1603" t="str">
            <v>Unknown- Dry</v>
          </cell>
          <cell r="F1603" t="str">
            <v>Conventional</v>
          </cell>
          <cell r="G1603">
            <v>0</v>
          </cell>
          <cell r="H1603" t="str">
            <v>Production;Unknown- Dry;Conventional</v>
          </cell>
          <cell r="I1603" t="str">
            <v>Unknown- Dry;Conventional;0;8</v>
          </cell>
          <cell r="J1603" t="str">
            <v>BC</v>
          </cell>
          <cell r="K1603" t="str">
            <v>Shallow</v>
          </cell>
          <cell r="L1603">
            <v>11</v>
          </cell>
          <cell r="M1603">
            <v>133.16666700000002</v>
          </cell>
        </row>
        <row r="1604">
          <cell r="A1604">
            <v>8</v>
          </cell>
          <cell r="B1604">
            <v>2006</v>
          </cell>
          <cell r="C1604">
            <v>2</v>
          </cell>
          <cell r="D1604" t="str">
            <v>Production</v>
          </cell>
          <cell r="E1604" t="str">
            <v>Unknown- Dry</v>
          </cell>
          <cell r="F1604" t="str">
            <v>Conventional</v>
          </cell>
          <cell r="G1604">
            <v>0</v>
          </cell>
          <cell r="H1604" t="str">
            <v>Production;Unknown- Dry;Conventional</v>
          </cell>
          <cell r="I1604" t="str">
            <v>Unknown- Dry;Conventional;0;8</v>
          </cell>
          <cell r="J1604" t="str">
            <v>BC</v>
          </cell>
          <cell r="K1604" t="str">
            <v>Shallow</v>
          </cell>
          <cell r="L1604">
            <v>1</v>
          </cell>
          <cell r="M1604">
            <v>10</v>
          </cell>
        </row>
        <row r="1605">
          <cell r="A1605">
            <v>8</v>
          </cell>
          <cell r="B1605">
            <v>2007</v>
          </cell>
          <cell r="C1605">
            <v>1</v>
          </cell>
          <cell r="D1605" t="str">
            <v>Production</v>
          </cell>
          <cell r="E1605" t="str">
            <v>Unknown- Dry</v>
          </cell>
          <cell r="F1605" t="str">
            <v>Conventional</v>
          </cell>
          <cell r="G1605">
            <v>0</v>
          </cell>
          <cell r="H1605" t="str">
            <v>Production;Unknown- Dry;Conventional</v>
          </cell>
          <cell r="I1605" t="str">
            <v>Unknown- Dry;Conventional;0;8</v>
          </cell>
          <cell r="J1605" t="str">
            <v>BC</v>
          </cell>
          <cell r="K1605" t="str">
            <v>Medium</v>
          </cell>
          <cell r="L1605">
            <v>3</v>
          </cell>
          <cell r="M1605">
            <v>22</v>
          </cell>
        </row>
        <row r="1606">
          <cell r="A1606">
            <v>8</v>
          </cell>
          <cell r="B1606">
            <v>2007</v>
          </cell>
          <cell r="C1606">
            <v>1</v>
          </cell>
          <cell r="D1606" t="str">
            <v>Production</v>
          </cell>
          <cell r="E1606" t="str">
            <v>Unknown- Dry</v>
          </cell>
          <cell r="F1606" t="str">
            <v>Conventional</v>
          </cell>
          <cell r="G1606">
            <v>0</v>
          </cell>
          <cell r="H1606" t="str">
            <v>Production;Unknown- Dry;Conventional</v>
          </cell>
          <cell r="I1606" t="str">
            <v>Unknown- Dry;Conventional;0;8</v>
          </cell>
          <cell r="J1606" t="str">
            <v>BC</v>
          </cell>
          <cell r="K1606" t="str">
            <v>Shallow</v>
          </cell>
          <cell r="L1606">
            <v>2</v>
          </cell>
          <cell r="M1606">
            <v>14</v>
          </cell>
        </row>
        <row r="1607">
          <cell r="A1607">
            <v>9</v>
          </cell>
          <cell r="B1607">
            <v>2000</v>
          </cell>
          <cell r="C1607">
            <v>1</v>
          </cell>
          <cell r="D1607" t="str">
            <v>Production</v>
          </cell>
          <cell r="E1607" t="str">
            <v>Unknown- Dry</v>
          </cell>
          <cell r="F1607" t="str">
            <v>Conventional</v>
          </cell>
          <cell r="G1607">
            <v>0</v>
          </cell>
          <cell r="H1607" t="str">
            <v>Production;Unknown- Dry;Conventional</v>
          </cell>
          <cell r="I1607" t="str">
            <v>Unknown- Dry;Conventional;0;9</v>
          </cell>
          <cell r="J1607" t="str">
            <v>BC</v>
          </cell>
          <cell r="K1607" t="str">
            <v>Deep</v>
          </cell>
          <cell r="L1607">
            <v>2</v>
          </cell>
          <cell r="M1607">
            <v>343.5</v>
          </cell>
        </row>
        <row r="1608">
          <cell r="A1608">
            <v>9</v>
          </cell>
          <cell r="B1608">
            <v>2000</v>
          </cell>
          <cell r="C1608">
            <v>1</v>
          </cell>
          <cell r="D1608" t="str">
            <v>Production</v>
          </cell>
          <cell r="E1608" t="str">
            <v>Unknown- Dry</v>
          </cell>
          <cell r="F1608" t="str">
            <v>Conventional</v>
          </cell>
          <cell r="G1608">
            <v>0</v>
          </cell>
          <cell r="H1608" t="str">
            <v>Production;Unknown- Dry;Conventional</v>
          </cell>
          <cell r="I1608" t="str">
            <v>Unknown- Dry;Conventional;0;9</v>
          </cell>
          <cell r="J1608" t="str">
            <v>BC</v>
          </cell>
          <cell r="K1608" t="str">
            <v>Medium</v>
          </cell>
          <cell r="L1608">
            <v>22</v>
          </cell>
          <cell r="M1608">
            <v>372.91666599999996</v>
          </cell>
        </row>
        <row r="1609">
          <cell r="A1609">
            <v>9</v>
          </cell>
          <cell r="B1609">
            <v>2000</v>
          </cell>
          <cell r="C1609">
            <v>1</v>
          </cell>
          <cell r="D1609" t="str">
            <v>Production</v>
          </cell>
          <cell r="E1609" t="str">
            <v>Unknown- Dry</v>
          </cell>
          <cell r="F1609" t="str">
            <v>Conventional</v>
          </cell>
          <cell r="G1609">
            <v>0</v>
          </cell>
          <cell r="H1609" t="str">
            <v>Production;Unknown- Dry;Conventional</v>
          </cell>
          <cell r="I1609" t="str">
            <v>Unknown- Dry;Conventional;0;9</v>
          </cell>
          <cell r="J1609" t="str">
            <v>BC</v>
          </cell>
          <cell r="K1609" t="str">
            <v>Shallow</v>
          </cell>
          <cell r="L1609">
            <v>12</v>
          </cell>
          <cell r="M1609">
            <v>470.66663</v>
          </cell>
        </row>
        <row r="1610">
          <cell r="A1610">
            <v>9</v>
          </cell>
          <cell r="B1610">
            <v>2000</v>
          </cell>
          <cell r="C1610">
            <v>2</v>
          </cell>
          <cell r="D1610" t="str">
            <v>Production</v>
          </cell>
          <cell r="E1610" t="str">
            <v>Unknown- Dry</v>
          </cell>
          <cell r="F1610" t="str">
            <v>Conventional</v>
          </cell>
          <cell r="G1610">
            <v>0</v>
          </cell>
          <cell r="H1610" t="str">
            <v>Production;Unknown- Dry;Conventional</v>
          </cell>
          <cell r="I1610" t="str">
            <v>Unknown- Dry;Conventional;0;9</v>
          </cell>
          <cell r="J1610" t="str">
            <v>BC</v>
          </cell>
          <cell r="K1610" t="str">
            <v>Deep</v>
          </cell>
          <cell r="L1610">
            <v>1</v>
          </cell>
          <cell r="M1610">
            <v>102</v>
          </cell>
        </row>
        <row r="1611">
          <cell r="A1611">
            <v>9</v>
          </cell>
          <cell r="B1611">
            <v>2001</v>
          </cell>
          <cell r="C1611">
            <v>1</v>
          </cell>
          <cell r="D1611" t="str">
            <v>Production</v>
          </cell>
          <cell r="E1611" t="str">
            <v>Unknown- Dry</v>
          </cell>
          <cell r="F1611" t="str">
            <v>Conventional</v>
          </cell>
          <cell r="G1611">
            <v>0</v>
          </cell>
          <cell r="H1611" t="str">
            <v>Production;Unknown- Dry;Conventional</v>
          </cell>
          <cell r="I1611" t="str">
            <v>Unknown- Dry;Conventional;0;9</v>
          </cell>
          <cell r="J1611" t="str">
            <v>BC</v>
          </cell>
          <cell r="K1611" t="str">
            <v>DEEP</v>
          </cell>
          <cell r="L1611">
            <v>4</v>
          </cell>
          <cell r="M1611">
            <v>125.5</v>
          </cell>
        </row>
        <row r="1612">
          <cell r="A1612">
            <v>9</v>
          </cell>
          <cell r="B1612">
            <v>2001</v>
          </cell>
          <cell r="C1612">
            <v>1</v>
          </cell>
          <cell r="D1612" t="str">
            <v>Production</v>
          </cell>
          <cell r="E1612" t="str">
            <v>Unknown- Dry</v>
          </cell>
          <cell r="F1612" t="str">
            <v>Conventional</v>
          </cell>
          <cell r="G1612">
            <v>0</v>
          </cell>
          <cell r="H1612" t="str">
            <v>Production;Unknown- Dry;Conventional</v>
          </cell>
          <cell r="I1612" t="str">
            <v>Unknown- Dry;Conventional;0;9</v>
          </cell>
          <cell r="J1612" t="str">
            <v>BC</v>
          </cell>
          <cell r="K1612" t="str">
            <v>Medium</v>
          </cell>
          <cell r="L1612">
            <v>12</v>
          </cell>
          <cell r="M1612">
            <v>205</v>
          </cell>
        </row>
        <row r="1613">
          <cell r="A1613">
            <v>9</v>
          </cell>
          <cell r="B1613">
            <v>2001</v>
          </cell>
          <cell r="C1613">
            <v>1</v>
          </cell>
          <cell r="D1613" t="str">
            <v>Production</v>
          </cell>
          <cell r="E1613" t="str">
            <v>Unknown- Dry</v>
          </cell>
          <cell r="F1613" t="str">
            <v>Conventional</v>
          </cell>
          <cell r="G1613">
            <v>0</v>
          </cell>
          <cell r="H1613" t="str">
            <v>Production;Unknown- Dry;Conventional</v>
          </cell>
          <cell r="I1613" t="str">
            <v>Unknown- Dry;Conventional;0;9</v>
          </cell>
          <cell r="J1613" t="str">
            <v>BC</v>
          </cell>
          <cell r="K1613" t="str">
            <v>Shallow</v>
          </cell>
          <cell r="L1613">
            <v>14</v>
          </cell>
          <cell r="M1613">
            <v>82</v>
          </cell>
        </row>
        <row r="1614">
          <cell r="A1614">
            <v>9</v>
          </cell>
          <cell r="B1614">
            <v>2001</v>
          </cell>
          <cell r="C1614">
            <v>2</v>
          </cell>
          <cell r="D1614" t="str">
            <v>Production</v>
          </cell>
          <cell r="E1614" t="str">
            <v>Unknown- Dry</v>
          </cell>
          <cell r="F1614" t="str">
            <v>Conventional</v>
          </cell>
          <cell r="G1614">
            <v>0</v>
          </cell>
          <cell r="H1614" t="str">
            <v>Production;Unknown- Dry;Conventional</v>
          </cell>
          <cell r="I1614" t="str">
            <v>Unknown- Dry;Conventional;0;9</v>
          </cell>
          <cell r="J1614" t="str">
            <v>BC</v>
          </cell>
          <cell r="K1614" t="str">
            <v>DEEP</v>
          </cell>
          <cell r="L1614">
            <v>1</v>
          </cell>
          <cell r="M1614">
            <v>26</v>
          </cell>
        </row>
        <row r="1615">
          <cell r="A1615">
            <v>9</v>
          </cell>
          <cell r="B1615">
            <v>2002</v>
          </cell>
          <cell r="C1615">
            <v>1</v>
          </cell>
          <cell r="D1615" t="str">
            <v>Production</v>
          </cell>
          <cell r="E1615" t="str">
            <v>Unknown- Dry</v>
          </cell>
          <cell r="F1615" t="str">
            <v>Conventional</v>
          </cell>
          <cell r="G1615">
            <v>0</v>
          </cell>
          <cell r="H1615" t="str">
            <v>Production;Unknown- Dry;Conventional</v>
          </cell>
          <cell r="I1615" t="str">
            <v>Unknown- Dry;Conventional;0;9</v>
          </cell>
          <cell r="J1615" t="str">
            <v>BC</v>
          </cell>
          <cell r="K1615" t="str">
            <v>MEDIUM</v>
          </cell>
          <cell r="L1615">
            <v>9</v>
          </cell>
          <cell r="M1615">
            <v>267.5</v>
          </cell>
        </row>
        <row r="1616">
          <cell r="A1616">
            <v>9</v>
          </cell>
          <cell r="B1616">
            <v>2002</v>
          </cell>
          <cell r="C1616">
            <v>1</v>
          </cell>
          <cell r="D1616" t="str">
            <v>Production</v>
          </cell>
          <cell r="E1616" t="str">
            <v>Unknown- Dry</v>
          </cell>
          <cell r="F1616" t="str">
            <v>Conventional</v>
          </cell>
          <cell r="G1616">
            <v>0</v>
          </cell>
          <cell r="H1616" t="str">
            <v>Production;Unknown- Dry;Conventional</v>
          </cell>
          <cell r="I1616" t="str">
            <v>Unknown- Dry;Conventional;0;9</v>
          </cell>
          <cell r="J1616" t="str">
            <v>BC</v>
          </cell>
          <cell r="K1616" t="str">
            <v>Shallow</v>
          </cell>
          <cell r="L1616">
            <v>12</v>
          </cell>
          <cell r="M1616">
            <v>82.517460299999996</v>
          </cell>
        </row>
        <row r="1617">
          <cell r="A1617">
            <v>9</v>
          </cell>
          <cell r="B1617">
            <v>2003</v>
          </cell>
          <cell r="C1617">
            <v>1</v>
          </cell>
          <cell r="D1617" t="str">
            <v>Production</v>
          </cell>
          <cell r="E1617" t="str">
            <v>Unknown- Dry</v>
          </cell>
          <cell r="F1617" t="str">
            <v>Conventional</v>
          </cell>
          <cell r="G1617">
            <v>0</v>
          </cell>
          <cell r="H1617" t="str">
            <v>Production;Unknown- Dry;Conventional</v>
          </cell>
          <cell r="I1617" t="str">
            <v>Unknown- Dry;Conventional;0;9</v>
          </cell>
          <cell r="J1617" t="str">
            <v>BC</v>
          </cell>
          <cell r="K1617" t="str">
            <v>Deep</v>
          </cell>
          <cell r="L1617">
            <v>3</v>
          </cell>
          <cell r="M1617">
            <v>91.5</v>
          </cell>
        </row>
        <row r="1618">
          <cell r="A1618">
            <v>9</v>
          </cell>
          <cell r="B1618">
            <v>2003</v>
          </cell>
          <cell r="C1618">
            <v>1</v>
          </cell>
          <cell r="D1618" t="str">
            <v>Production</v>
          </cell>
          <cell r="E1618" t="str">
            <v>Unknown- Dry</v>
          </cell>
          <cell r="F1618" t="str">
            <v>Conventional</v>
          </cell>
          <cell r="G1618">
            <v>0</v>
          </cell>
          <cell r="H1618" t="str">
            <v>Production;Unknown- Dry;Conventional</v>
          </cell>
          <cell r="I1618" t="str">
            <v>Unknown- Dry;Conventional;0;9</v>
          </cell>
          <cell r="J1618" t="str">
            <v>BC</v>
          </cell>
          <cell r="K1618" t="str">
            <v>Medium</v>
          </cell>
          <cell r="L1618">
            <v>20</v>
          </cell>
          <cell r="M1618">
            <v>316.5</v>
          </cell>
        </row>
        <row r="1619">
          <cell r="A1619">
            <v>9</v>
          </cell>
          <cell r="B1619">
            <v>2003</v>
          </cell>
          <cell r="C1619">
            <v>1</v>
          </cell>
          <cell r="D1619" t="str">
            <v>Production</v>
          </cell>
          <cell r="E1619" t="str">
            <v>Unknown- Dry</v>
          </cell>
          <cell r="F1619" t="str">
            <v>Conventional</v>
          </cell>
          <cell r="G1619">
            <v>0</v>
          </cell>
          <cell r="H1619" t="str">
            <v>Production;Unknown- Dry;Conventional</v>
          </cell>
          <cell r="I1619" t="str">
            <v>Unknown- Dry;Conventional;0;9</v>
          </cell>
          <cell r="J1619" t="str">
            <v>BC</v>
          </cell>
          <cell r="K1619" t="str">
            <v>SHALLOW</v>
          </cell>
          <cell r="L1619">
            <v>15</v>
          </cell>
          <cell r="M1619">
            <v>83.5</v>
          </cell>
        </row>
        <row r="1620">
          <cell r="A1620">
            <v>9</v>
          </cell>
          <cell r="B1620">
            <v>2004</v>
          </cell>
          <cell r="C1620">
            <v>1</v>
          </cell>
          <cell r="D1620" t="str">
            <v>Production</v>
          </cell>
          <cell r="E1620" t="str">
            <v>Unknown- Dry</v>
          </cell>
          <cell r="F1620" t="str">
            <v>Conventional</v>
          </cell>
          <cell r="G1620">
            <v>0</v>
          </cell>
          <cell r="H1620" t="str">
            <v>Production;Unknown- Dry;Conventional</v>
          </cell>
          <cell r="I1620" t="str">
            <v>Unknown- Dry;Conventional;0;9</v>
          </cell>
          <cell r="J1620" t="str">
            <v>BC</v>
          </cell>
          <cell r="K1620" t="str">
            <v>Deep</v>
          </cell>
          <cell r="L1620">
            <v>9</v>
          </cell>
          <cell r="M1620">
            <v>318.83333299999998</v>
          </cell>
        </row>
        <row r="1621">
          <cell r="A1621">
            <v>9</v>
          </cell>
          <cell r="B1621">
            <v>2004</v>
          </cell>
          <cell r="C1621">
            <v>1</v>
          </cell>
          <cell r="D1621" t="str">
            <v>Production</v>
          </cell>
          <cell r="E1621" t="str">
            <v>Unknown- Dry</v>
          </cell>
          <cell r="F1621" t="str">
            <v>Conventional</v>
          </cell>
          <cell r="G1621">
            <v>0</v>
          </cell>
          <cell r="H1621" t="str">
            <v>Production;Unknown- Dry;Conventional</v>
          </cell>
          <cell r="I1621" t="str">
            <v>Unknown- Dry;Conventional;0;9</v>
          </cell>
          <cell r="J1621" t="str">
            <v>BC</v>
          </cell>
          <cell r="K1621" t="str">
            <v>Medium</v>
          </cell>
          <cell r="L1621">
            <v>13</v>
          </cell>
          <cell r="M1621">
            <v>207.91667000000001</v>
          </cell>
        </row>
        <row r="1622">
          <cell r="A1622">
            <v>9</v>
          </cell>
          <cell r="B1622">
            <v>2004</v>
          </cell>
          <cell r="C1622">
            <v>1</v>
          </cell>
          <cell r="D1622" t="str">
            <v>Production</v>
          </cell>
          <cell r="E1622" t="str">
            <v>Unknown- Dry</v>
          </cell>
          <cell r="F1622" t="str">
            <v>Conventional</v>
          </cell>
          <cell r="G1622">
            <v>0</v>
          </cell>
          <cell r="H1622" t="str">
            <v>Production;Unknown- Dry;Conventional</v>
          </cell>
          <cell r="I1622" t="str">
            <v>Unknown- Dry;Conventional;0;9</v>
          </cell>
          <cell r="J1622" t="str">
            <v>BC</v>
          </cell>
          <cell r="K1622" t="str">
            <v>SHALLOW</v>
          </cell>
          <cell r="L1622">
            <v>10</v>
          </cell>
          <cell r="M1622">
            <v>41</v>
          </cell>
        </row>
        <row r="1623">
          <cell r="A1623">
            <v>9</v>
          </cell>
          <cell r="B1623">
            <v>2005</v>
          </cell>
          <cell r="C1623">
            <v>1</v>
          </cell>
          <cell r="D1623" t="str">
            <v>Production</v>
          </cell>
          <cell r="E1623" t="str">
            <v>Unknown- Dry</v>
          </cell>
          <cell r="F1623" t="str">
            <v>Conventional</v>
          </cell>
          <cell r="G1623">
            <v>0</v>
          </cell>
          <cell r="H1623" t="str">
            <v>Production;Unknown- Dry;Conventional</v>
          </cell>
          <cell r="I1623" t="str">
            <v>Unknown- Dry;Conventional;0;9</v>
          </cell>
          <cell r="J1623" t="str">
            <v>BC</v>
          </cell>
          <cell r="K1623" t="str">
            <v>Deep</v>
          </cell>
          <cell r="L1623">
            <v>2</v>
          </cell>
          <cell r="M1623">
            <v>90</v>
          </cell>
        </row>
        <row r="1624">
          <cell r="A1624">
            <v>9</v>
          </cell>
          <cell r="B1624">
            <v>2005</v>
          </cell>
          <cell r="C1624">
            <v>1</v>
          </cell>
          <cell r="D1624" t="str">
            <v>Production</v>
          </cell>
          <cell r="E1624" t="str">
            <v>Unknown- Dry</v>
          </cell>
          <cell r="F1624" t="str">
            <v>Conventional</v>
          </cell>
          <cell r="G1624">
            <v>0</v>
          </cell>
          <cell r="H1624" t="str">
            <v>Production;Unknown- Dry;Conventional</v>
          </cell>
          <cell r="I1624" t="str">
            <v>Unknown- Dry;Conventional;0;9</v>
          </cell>
          <cell r="J1624" t="str">
            <v>BC</v>
          </cell>
          <cell r="K1624" t="str">
            <v>Medium</v>
          </cell>
          <cell r="L1624">
            <v>11</v>
          </cell>
          <cell r="M1624">
            <v>191.16666000000001</v>
          </cell>
        </row>
        <row r="1625">
          <cell r="A1625">
            <v>9</v>
          </cell>
          <cell r="B1625">
            <v>2005</v>
          </cell>
          <cell r="C1625">
            <v>1</v>
          </cell>
          <cell r="D1625" t="str">
            <v>Production</v>
          </cell>
          <cell r="E1625" t="str">
            <v>Unknown- Dry</v>
          </cell>
          <cell r="F1625" t="str">
            <v>Conventional</v>
          </cell>
          <cell r="G1625">
            <v>0</v>
          </cell>
          <cell r="H1625" t="str">
            <v>Production;Unknown- Dry;Conventional</v>
          </cell>
          <cell r="I1625" t="str">
            <v>Unknown- Dry;Conventional;0;9</v>
          </cell>
          <cell r="J1625" t="str">
            <v>BC</v>
          </cell>
          <cell r="K1625" t="str">
            <v>SHALLOW</v>
          </cell>
          <cell r="L1625">
            <v>7</v>
          </cell>
          <cell r="M1625">
            <v>35.497619</v>
          </cell>
        </row>
        <row r="1626">
          <cell r="A1626">
            <v>9</v>
          </cell>
          <cell r="B1626">
            <v>2006</v>
          </cell>
          <cell r="C1626">
            <v>1</v>
          </cell>
          <cell r="D1626" t="str">
            <v>Production</v>
          </cell>
          <cell r="E1626" t="str">
            <v>Unknown- Dry</v>
          </cell>
          <cell r="F1626" t="str">
            <v>Conventional</v>
          </cell>
          <cell r="G1626">
            <v>0</v>
          </cell>
          <cell r="H1626" t="str">
            <v>Production;Unknown- Dry;Conventional</v>
          </cell>
          <cell r="I1626" t="str">
            <v>Unknown- Dry;Conventional;0;9</v>
          </cell>
          <cell r="J1626" t="str">
            <v>BC</v>
          </cell>
          <cell r="K1626" t="str">
            <v>Deep</v>
          </cell>
          <cell r="L1626">
            <v>2</v>
          </cell>
          <cell r="M1626">
            <v>69.5</v>
          </cell>
        </row>
        <row r="1627">
          <cell r="A1627">
            <v>9</v>
          </cell>
          <cell r="B1627">
            <v>2006</v>
          </cell>
          <cell r="C1627">
            <v>1</v>
          </cell>
          <cell r="D1627" t="str">
            <v>Production</v>
          </cell>
          <cell r="E1627" t="str">
            <v>Unknown- Dry</v>
          </cell>
          <cell r="F1627" t="str">
            <v>Conventional</v>
          </cell>
          <cell r="G1627">
            <v>0</v>
          </cell>
          <cell r="H1627" t="str">
            <v>Production;Unknown- Dry;Conventional</v>
          </cell>
          <cell r="I1627" t="str">
            <v>Unknown- Dry;Conventional;0;9</v>
          </cell>
          <cell r="J1627" t="str">
            <v>BC</v>
          </cell>
          <cell r="K1627" t="str">
            <v>Medium</v>
          </cell>
          <cell r="L1627">
            <v>2</v>
          </cell>
          <cell r="M1627">
            <v>30</v>
          </cell>
        </row>
        <row r="1628">
          <cell r="A1628">
            <v>9</v>
          </cell>
          <cell r="B1628">
            <v>2006</v>
          </cell>
          <cell r="C1628">
            <v>1</v>
          </cell>
          <cell r="D1628" t="str">
            <v>Production</v>
          </cell>
          <cell r="E1628" t="str">
            <v>Unknown- Dry</v>
          </cell>
          <cell r="F1628" t="str">
            <v>Conventional</v>
          </cell>
          <cell r="G1628">
            <v>0</v>
          </cell>
          <cell r="H1628" t="str">
            <v>Production;Unknown- Dry;Conventional</v>
          </cell>
          <cell r="I1628" t="str">
            <v>Unknown- Dry;Conventional;0;9</v>
          </cell>
          <cell r="J1628" t="str">
            <v>BC</v>
          </cell>
          <cell r="K1628" t="str">
            <v>Shallow</v>
          </cell>
          <cell r="L1628">
            <v>12</v>
          </cell>
          <cell r="M1628">
            <v>85.25</v>
          </cell>
        </row>
        <row r="1629">
          <cell r="A1629">
            <v>9</v>
          </cell>
          <cell r="B1629">
            <v>2007</v>
          </cell>
          <cell r="C1629">
            <v>1</v>
          </cell>
          <cell r="D1629" t="str">
            <v>Production</v>
          </cell>
          <cell r="E1629" t="str">
            <v>Unknown- Dry</v>
          </cell>
          <cell r="F1629" t="str">
            <v>Conventional</v>
          </cell>
          <cell r="G1629">
            <v>0</v>
          </cell>
          <cell r="H1629" t="str">
            <v>Production;Unknown- Dry;Conventional</v>
          </cell>
          <cell r="I1629" t="str">
            <v>Unknown- Dry;Conventional;0;9</v>
          </cell>
          <cell r="J1629" t="str">
            <v>BC</v>
          </cell>
          <cell r="K1629" t="str">
            <v>Medium</v>
          </cell>
          <cell r="L1629">
            <v>4</v>
          </cell>
          <cell r="M1629">
            <v>536</v>
          </cell>
        </row>
        <row r="1630">
          <cell r="A1630">
            <v>9</v>
          </cell>
          <cell r="B1630">
            <v>2007</v>
          </cell>
          <cell r="C1630">
            <v>1</v>
          </cell>
          <cell r="D1630" t="str">
            <v>Production</v>
          </cell>
          <cell r="E1630" t="str">
            <v>Unknown- Dry</v>
          </cell>
          <cell r="F1630" t="str">
            <v>Conventional</v>
          </cell>
          <cell r="G1630">
            <v>0</v>
          </cell>
          <cell r="H1630" t="str">
            <v>Production;Unknown- Dry;Conventional</v>
          </cell>
          <cell r="I1630" t="str">
            <v>Unknown- Dry;Conventional;0;9</v>
          </cell>
          <cell r="J1630" t="str">
            <v>BC</v>
          </cell>
          <cell r="K1630" t="str">
            <v>Shallow</v>
          </cell>
          <cell r="L1630">
            <v>1</v>
          </cell>
          <cell r="M1630">
            <v>4</v>
          </cell>
        </row>
        <row r="1631">
          <cell r="A1631">
            <v>10</v>
          </cell>
          <cell r="B1631">
            <v>2000</v>
          </cell>
          <cell r="C1631">
            <v>1</v>
          </cell>
          <cell r="D1631" t="str">
            <v>Production</v>
          </cell>
          <cell r="E1631" t="str">
            <v>Unknown- Dry</v>
          </cell>
          <cell r="F1631" t="str">
            <v>Conventional</v>
          </cell>
          <cell r="G1631">
            <v>0</v>
          </cell>
          <cell r="H1631" t="str">
            <v>Production;Unknown- Dry;Conventional</v>
          </cell>
          <cell r="I1631" t="str">
            <v>Unknown- Dry;Conventional;0;10</v>
          </cell>
          <cell r="J1631" t="str">
            <v>BC</v>
          </cell>
          <cell r="K1631" t="str">
            <v>Deep</v>
          </cell>
          <cell r="L1631">
            <v>1</v>
          </cell>
          <cell r="M1631">
            <v>107</v>
          </cell>
        </row>
        <row r="1632">
          <cell r="A1632">
            <v>10</v>
          </cell>
          <cell r="B1632">
            <v>2000</v>
          </cell>
          <cell r="C1632">
            <v>1</v>
          </cell>
          <cell r="D1632" t="str">
            <v>Production</v>
          </cell>
          <cell r="E1632" t="str">
            <v>Unknown- Dry</v>
          </cell>
          <cell r="F1632" t="str">
            <v>Conventional</v>
          </cell>
          <cell r="G1632">
            <v>0</v>
          </cell>
          <cell r="H1632" t="str">
            <v>Production;Unknown- Dry;Conventional</v>
          </cell>
          <cell r="I1632" t="str">
            <v>Unknown- Dry;Conventional;0;10</v>
          </cell>
          <cell r="J1632" t="str">
            <v>BC</v>
          </cell>
          <cell r="K1632" t="str">
            <v>SHALLOW</v>
          </cell>
          <cell r="L1632">
            <v>1</v>
          </cell>
          <cell r="M1632">
            <v>13</v>
          </cell>
        </row>
        <row r="1633">
          <cell r="A1633">
            <v>10</v>
          </cell>
          <cell r="B1633">
            <v>2001</v>
          </cell>
          <cell r="C1633">
            <v>1</v>
          </cell>
          <cell r="D1633" t="str">
            <v>Production</v>
          </cell>
          <cell r="E1633" t="str">
            <v>Unknown- Dry</v>
          </cell>
          <cell r="F1633" t="str">
            <v>Conventional</v>
          </cell>
          <cell r="G1633">
            <v>0</v>
          </cell>
          <cell r="H1633" t="str">
            <v>Production;Unknown- Dry;Conventional</v>
          </cell>
          <cell r="I1633" t="str">
            <v>Unknown- Dry;Conventional;0;10</v>
          </cell>
          <cell r="J1633" t="str">
            <v>BC</v>
          </cell>
          <cell r="K1633" t="str">
            <v>Deep</v>
          </cell>
          <cell r="L1633">
            <v>3</v>
          </cell>
          <cell r="M1633">
            <v>459.5</v>
          </cell>
        </row>
        <row r="1634">
          <cell r="A1634">
            <v>10</v>
          </cell>
          <cell r="B1634">
            <v>2001</v>
          </cell>
          <cell r="C1634">
            <v>1</v>
          </cell>
          <cell r="D1634" t="str">
            <v>Production</v>
          </cell>
          <cell r="E1634" t="str">
            <v>Unknown- Dry</v>
          </cell>
          <cell r="F1634" t="str">
            <v>Conventional</v>
          </cell>
          <cell r="G1634">
            <v>0</v>
          </cell>
          <cell r="H1634" t="str">
            <v>Production;Unknown- Dry;Conventional</v>
          </cell>
          <cell r="I1634" t="str">
            <v>Unknown- Dry;Conventional;0;10</v>
          </cell>
          <cell r="J1634" t="str">
            <v>BC</v>
          </cell>
          <cell r="K1634" t="str">
            <v>Medium</v>
          </cell>
          <cell r="L1634">
            <v>2</v>
          </cell>
          <cell r="M1634">
            <v>48</v>
          </cell>
        </row>
        <row r="1635">
          <cell r="A1635">
            <v>10</v>
          </cell>
          <cell r="B1635">
            <v>2001</v>
          </cell>
          <cell r="C1635">
            <v>2</v>
          </cell>
          <cell r="D1635" t="str">
            <v>Production</v>
          </cell>
          <cell r="E1635" t="str">
            <v>Unknown- Dry</v>
          </cell>
          <cell r="F1635" t="str">
            <v>Conventional</v>
          </cell>
          <cell r="G1635">
            <v>0</v>
          </cell>
          <cell r="H1635" t="str">
            <v>Production;Unknown- Dry;Conventional</v>
          </cell>
          <cell r="I1635" t="str">
            <v>Unknown- Dry;Conventional;0;10</v>
          </cell>
          <cell r="J1635" t="str">
            <v>BC</v>
          </cell>
          <cell r="K1635" t="str">
            <v>DEEP</v>
          </cell>
          <cell r="L1635">
            <v>1</v>
          </cell>
          <cell r="M1635">
            <v>22</v>
          </cell>
        </row>
        <row r="1636">
          <cell r="A1636">
            <v>10</v>
          </cell>
          <cell r="B1636">
            <v>2002</v>
          </cell>
          <cell r="C1636">
            <v>1</v>
          </cell>
          <cell r="D1636" t="str">
            <v>Production</v>
          </cell>
          <cell r="E1636" t="str">
            <v>Unknown- Dry</v>
          </cell>
          <cell r="F1636" t="str">
            <v>Conventional</v>
          </cell>
          <cell r="G1636">
            <v>0</v>
          </cell>
          <cell r="H1636" t="str">
            <v>Production;Unknown- Dry;Conventional</v>
          </cell>
          <cell r="I1636" t="str">
            <v>Unknown- Dry;Conventional;0;10</v>
          </cell>
          <cell r="J1636" t="str">
            <v>BC</v>
          </cell>
          <cell r="K1636" t="str">
            <v>Deep</v>
          </cell>
          <cell r="L1636">
            <v>3</v>
          </cell>
          <cell r="M1636">
            <v>346.16669999999999</v>
          </cell>
        </row>
        <row r="1637">
          <cell r="A1637">
            <v>10</v>
          </cell>
          <cell r="B1637">
            <v>2002</v>
          </cell>
          <cell r="C1637">
            <v>1</v>
          </cell>
          <cell r="D1637" t="str">
            <v>Production</v>
          </cell>
          <cell r="E1637" t="str">
            <v>Unknown- Dry</v>
          </cell>
          <cell r="F1637" t="str">
            <v>Conventional</v>
          </cell>
          <cell r="G1637">
            <v>0</v>
          </cell>
          <cell r="H1637" t="str">
            <v>Production;Unknown- Dry;Conventional</v>
          </cell>
          <cell r="I1637" t="str">
            <v>Unknown- Dry;Conventional;0;10</v>
          </cell>
          <cell r="J1637" t="str">
            <v>BC</v>
          </cell>
          <cell r="K1637" t="str">
            <v>Shallow</v>
          </cell>
          <cell r="L1637">
            <v>1</v>
          </cell>
          <cell r="M1637">
            <v>7</v>
          </cell>
        </row>
        <row r="1638">
          <cell r="A1638">
            <v>10</v>
          </cell>
          <cell r="B1638">
            <v>2003</v>
          </cell>
          <cell r="C1638">
            <v>1</v>
          </cell>
          <cell r="D1638" t="str">
            <v>Production</v>
          </cell>
          <cell r="E1638" t="str">
            <v>Unknown- Dry</v>
          </cell>
          <cell r="F1638" t="str">
            <v>Conventional</v>
          </cell>
          <cell r="G1638">
            <v>0</v>
          </cell>
          <cell r="H1638" t="str">
            <v>Production;Unknown- Dry;Conventional</v>
          </cell>
          <cell r="I1638" t="str">
            <v>Unknown- Dry;Conventional;0;10</v>
          </cell>
          <cell r="J1638" t="str">
            <v>BC</v>
          </cell>
          <cell r="K1638" t="str">
            <v>Deep</v>
          </cell>
          <cell r="L1638">
            <v>4</v>
          </cell>
          <cell r="M1638">
            <v>227</v>
          </cell>
        </row>
        <row r="1639">
          <cell r="A1639">
            <v>10</v>
          </cell>
          <cell r="B1639">
            <v>2003</v>
          </cell>
          <cell r="C1639">
            <v>1</v>
          </cell>
          <cell r="D1639" t="str">
            <v>Production</v>
          </cell>
          <cell r="E1639" t="str">
            <v>Unknown- Dry</v>
          </cell>
          <cell r="F1639" t="str">
            <v>Conventional</v>
          </cell>
          <cell r="G1639">
            <v>0</v>
          </cell>
          <cell r="H1639" t="str">
            <v>Production;Unknown- Dry;Conventional</v>
          </cell>
          <cell r="I1639" t="str">
            <v>Unknown- Dry;Conventional;0;10</v>
          </cell>
          <cell r="J1639" t="str">
            <v>BC</v>
          </cell>
          <cell r="K1639" t="str">
            <v>Medium</v>
          </cell>
          <cell r="L1639">
            <v>3</v>
          </cell>
          <cell r="M1639">
            <v>60.5</v>
          </cell>
        </row>
        <row r="1640">
          <cell r="A1640">
            <v>10</v>
          </cell>
          <cell r="B1640">
            <v>2003</v>
          </cell>
          <cell r="C1640">
            <v>3</v>
          </cell>
          <cell r="D1640" t="str">
            <v>Production</v>
          </cell>
          <cell r="E1640" t="str">
            <v>Unknown- Dry</v>
          </cell>
          <cell r="F1640" t="str">
            <v>Conventional</v>
          </cell>
          <cell r="G1640">
            <v>0</v>
          </cell>
          <cell r="H1640" t="str">
            <v>Production;Unknown- Dry;Conventional</v>
          </cell>
          <cell r="I1640" t="str">
            <v>Unknown- Dry;Conventional;0;10</v>
          </cell>
          <cell r="J1640" t="str">
            <v>BC</v>
          </cell>
          <cell r="K1640" t="str">
            <v>Medium</v>
          </cell>
          <cell r="L1640">
            <v>1</v>
          </cell>
          <cell r="M1640">
            <v>31.33333</v>
          </cell>
        </row>
        <row r="1641">
          <cell r="A1641">
            <v>10</v>
          </cell>
          <cell r="B1641">
            <v>2004</v>
          </cell>
          <cell r="C1641">
            <v>1</v>
          </cell>
          <cell r="D1641" t="str">
            <v>Production</v>
          </cell>
          <cell r="E1641" t="str">
            <v>Unknown- Dry</v>
          </cell>
          <cell r="F1641" t="str">
            <v>Conventional</v>
          </cell>
          <cell r="G1641">
            <v>0</v>
          </cell>
          <cell r="H1641" t="str">
            <v>Production;Unknown- Dry;Conventional</v>
          </cell>
          <cell r="I1641" t="str">
            <v>Unknown- Dry;Conventional;0;10</v>
          </cell>
          <cell r="J1641" t="str">
            <v>BC</v>
          </cell>
          <cell r="K1641" t="str">
            <v>Deep</v>
          </cell>
          <cell r="L1641">
            <v>1</v>
          </cell>
          <cell r="M1641">
            <v>56</v>
          </cell>
        </row>
        <row r="1642">
          <cell r="A1642">
            <v>10</v>
          </cell>
          <cell r="B1642">
            <v>2004</v>
          </cell>
          <cell r="C1642">
            <v>1</v>
          </cell>
          <cell r="D1642" t="str">
            <v>Production</v>
          </cell>
          <cell r="E1642" t="str">
            <v>Unknown- Dry</v>
          </cell>
          <cell r="F1642" t="str">
            <v>Conventional</v>
          </cell>
          <cell r="G1642">
            <v>0</v>
          </cell>
          <cell r="H1642" t="str">
            <v>Production;Unknown- Dry;Conventional</v>
          </cell>
          <cell r="I1642" t="str">
            <v>Unknown- Dry;Conventional;0;10</v>
          </cell>
          <cell r="J1642" t="str">
            <v>BC</v>
          </cell>
          <cell r="K1642" t="str">
            <v>Medium</v>
          </cell>
          <cell r="L1642">
            <v>3</v>
          </cell>
          <cell r="M1642">
            <v>143</v>
          </cell>
        </row>
        <row r="1643">
          <cell r="A1643">
            <v>10</v>
          </cell>
          <cell r="B1643">
            <v>2004</v>
          </cell>
          <cell r="C1643">
            <v>2</v>
          </cell>
          <cell r="D1643" t="str">
            <v>Production</v>
          </cell>
          <cell r="E1643" t="str">
            <v>Unknown- Dry</v>
          </cell>
          <cell r="F1643" t="str">
            <v>Conventional</v>
          </cell>
          <cell r="G1643">
            <v>0</v>
          </cell>
          <cell r="H1643" t="str">
            <v>Production;Unknown- Dry;Conventional</v>
          </cell>
          <cell r="I1643" t="str">
            <v>Unknown- Dry;Conventional;0;10</v>
          </cell>
          <cell r="J1643" t="str">
            <v>BC</v>
          </cell>
          <cell r="K1643" t="str">
            <v>Deep</v>
          </cell>
          <cell r="L1643">
            <v>1</v>
          </cell>
          <cell r="M1643">
            <v>21</v>
          </cell>
        </row>
        <row r="1644">
          <cell r="A1644">
            <v>10</v>
          </cell>
          <cell r="B1644">
            <v>2005</v>
          </cell>
          <cell r="C1644">
            <v>1</v>
          </cell>
          <cell r="D1644" t="str">
            <v>Production</v>
          </cell>
          <cell r="E1644" t="str">
            <v>Unknown- Dry</v>
          </cell>
          <cell r="F1644" t="str">
            <v>Conventional</v>
          </cell>
          <cell r="G1644">
            <v>0</v>
          </cell>
          <cell r="H1644" t="str">
            <v>Production;Unknown- Dry;Conventional</v>
          </cell>
          <cell r="I1644" t="str">
            <v>Unknown- Dry;Conventional;0;10</v>
          </cell>
          <cell r="J1644" t="str">
            <v>BC</v>
          </cell>
          <cell r="K1644" t="str">
            <v>Deep</v>
          </cell>
          <cell r="L1644">
            <v>2</v>
          </cell>
          <cell r="M1644">
            <v>235</v>
          </cell>
        </row>
        <row r="1645">
          <cell r="A1645">
            <v>10</v>
          </cell>
          <cell r="B1645">
            <v>2005</v>
          </cell>
          <cell r="C1645">
            <v>1</v>
          </cell>
          <cell r="D1645" t="str">
            <v>Production</v>
          </cell>
          <cell r="E1645" t="str">
            <v>Unknown- Dry</v>
          </cell>
          <cell r="F1645" t="str">
            <v>Conventional</v>
          </cell>
          <cell r="G1645">
            <v>0</v>
          </cell>
          <cell r="H1645" t="str">
            <v>Production;Unknown- Dry;Conventional</v>
          </cell>
          <cell r="I1645" t="str">
            <v>Unknown- Dry;Conventional;0;10</v>
          </cell>
          <cell r="J1645" t="str">
            <v>BC</v>
          </cell>
          <cell r="K1645" t="str">
            <v>Medium</v>
          </cell>
          <cell r="L1645">
            <v>3</v>
          </cell>
          <cell r="M1645">
            <v>42</v>
          </cell>
        </row>
        <row r="1646">
          <cell r="A1646">
            <v>10</v>
          </cell>
          <cell r="B1646">
            <v>2005</v>
          </cell>
          <cell r="C1646">
            <v>1</v>
          </cell>
          <cell r="D1646" t="str">
            <v>Production</v>
          </cell>
          <cell r="E1646" t="str">
            <v>Unknown- Dry</v>
          </cell>
          <cell r="F1646" t="str">
            <v>Conventional</v>
          </cell>
          <cell r="G1646">
            <v>0</v>
          </cell>
          <cell r="H1646" t="str">
            <v>Production;Unknown- Dry;Conventional</v>
          </cell>
          <cell r="I1646" t="str">
            <v>Unknown- Dry;Conventional;0;10</v>
          </cell>
          <cell r="J1646" t="str">
            <v>BC</v>
          </cell>
          <cell r="K1646" t="str">
            <v>SHALLOW</v>
          </cell>
          <cell r="L1646">
            <v>2</v>
          </cell>
          <cell r="M1646">
            <v>34</v>
          </cell>
        </row>
        <row r="1647">
          <cell r="A1647">
            <v>10</v>
          </cell>
          <cell r="B1647">
            <v>2006</v>
          </cell>
          <cell r="C1647">
            <v>1</v>
          </cell>
          <cell r="D1647" t="str">
            <v>Production</v>
          </cell>
          <cell r="E1647" t="str">
            <v>Unknown- Dry</v>
          </cell>
          <cell r="F1647" t="str">
            <v>Conventional</v>
          </cell>
          <cell r="G1647">
            <v>0</v>
          </cell>
          <cell r="H1647" t="str">
            <v>Production;Unknown- Dry;Conventional</v>
          </cell>
          <cell r="I1647" t="str">
            <v>Unknown- Dry;Conventional;0;10</v>
          </cell>
          <cell r="J1647" t="str">
            <v>BC</v>
          </cell>
          <cell r="K1647" t="str">
            <v>Deep</v>
          </cell>
          <cell r="L1647">
            <v>3</v>
          </cell>
          <cell r="M1647">
            <v>186</v>
          </cell>
        </row>
        <row r="1648">
          <cell r="A1648">
            <v>10</v>
          </cell>
          <cell r="B1648">
            <v>2006</v>
          </cell>
          <cell r="C1648">
            <v>1</v>
          </cell>
          <cell r="D1648" t="str">
            <v>Production</v>
          </cell>
          <cell r="E1648" t="str">
            <v>Unknown- Dry</v>
          </cell>
          <cell r="F1648" t="str">
            <v>Conventional</v>
          </cell>
          <cell r="G1648">
            <v>0</v>
          </cell>
          <cell r="H1648" t="str">
            <v>Production;Unknown- Dry;Conventional</v>
          </cell>
          <cell r="I1648" t="str">
            <v>Unknown- Dry;Conventional;0;10</v>
          </cell>
          <cell r="J1648" t="str">
            <v>BC</v>
          </cell>
          <cell r="K1648" t="str">
            <v>Medium</v>
          </cell>
          <cell r="L1648">
            <v>4</v>
          </cell>
          <cell r="M1648">
            <v>75</v>
          </cell>
        </row>
        <row r="1649">
          <cell r="A1649">
            <v>10</v>
          </cell>
          <cell r="B1649">
            <v>2007</v>
          </cell>
          <cell r="C1649">
            <v>1</v>
          </cell>
          <cell r="D1649" t="str">
            <v>Production</v>
          </cell>
          <cell r="E1649" t="str">
            <v>Unknown- Dry</v>
          </cell>
          <cell r="F1649" t="str">
            <v>Conventional</v>
          </cell>
          <cell r="G1649">
            <v>0</v>
          </cell>
          <cell r="H1649" t="str">
            <v>Production;Unknown- Dry;Conventional</v>
          </cell>
          <cell r="I1649" t="str">
            <v>Unknown- Dry;Conventional;0;10</v>
          </cell>
          <cell r="J1649" t="str">
            <v>BC</v>
          </cell>
          <cell r="K1649" t="str">
            <v>Deep</v>
          </cell>
          <cell r="L1649">
            <v>1</v>
          </cell>
          <cell r="M1649">
            <v>17</v>
          </cell>
        </row>
        <row r="1650">
          <cell r="A1650">
            <v>1</v>
          </cell>
          <cell r="B1650">
            <v>2007</v>
          </cell>
          <cell r="C1650">
            <v>1</v>
          </cell>
          <cell r="D1650" t="str">
            <v>Production</v>
          </cell>
          <cell r="E1650" t="str">
            <v>Unknown- Lct</v>
          </cell>
          <cell r="F1650" t="str">
            <v>Conventional</v>
          </cell>
          <cell r="G1650">
            <v>0</v>
          </cell>
          <cell r="H1650" t="str">
            <v>Production;Unknown- Lct;Conventional</v>
          </cell>
          <cell r="I1650" t="str">
            <v>Unknown- Lct;Conventional;0;1</v>
          </cell>
          <cell r="J1650" t="str">
            <v>AB</v>
          </cell>
          <cell r="K1650" t="str">
            <v>Deep</v>
          </cell>
          <cell r="L1650">
            <v>2</v>
          </cell>
        </row>
        <row r="1651">
          <cell r="A1651">
            <v>1</v>
          </cell>
          <cell r="B1651">
            <v>2007</v>
          </cell>
          <cell r="C1651">
            <v>1</v>
          </cell>
          <cell r="D1651" t="str">
            <v>Production</v>
          </cell>
          <cell r="E1651" t="str">
            <v>Unknown- Lct</v>
          </cell>
          <cell r="F1651" t="str">
            <v>Conventional</v>
          </cell>
          <cell r="G1651">
            <v>0</v>
          </cell>
          <cell r="H1651" t="str">
            <v>Production;Unknown- Lct;Conventional</v>
          </cell>
          <cell r="I1651" t="str">
            <v>Unknown- Lct;Conventional;0;1</v>
          </cell>
          <cell r="J1651" t="str">
            <v>AB</v>
          </cell>
          <cell r="K1651" t="str">
            <v>Medium</v>
          </cell>
          <cell r="L1651">
            <v>1</v>
          </cell>
        </row>
        <row r="1652">
          <cell r="A1652">
            <v>2</v>
          </cell>
          <cell r="B1652">
            <v>2007</v>
          </cell>
          <cell r="C1652">
            <v>1</v>
          </cell>
          <cell r="D1652" t="str">
            <v>Production</v>
          </cell>
          <cell r="E1652" t="str">
            <v>Unknown- Lct</v>
          </cell>
          <cell r="F1652" t="str">
            <v>Conventional</v>
          </cell>
          <cell r="G1652">
            <v>0</v>
          </cell>
          <cell r="H1652" t="str">
            <v>Production;Unknown- Lct;Conventional</v>
          </cell>
          <cell r="I1652" t="str">
            <v>Unknown- Lct;Conventional;0;2</v>
          </cell>
          <cell r="J1652" t="str">
            <v>AB</v>
          </cell>
          <cell r="K1652" t="str">
            <v>Deep</v>
          </cell>
          <cell r="L1652">
            <v>8</v>
          </cell>
        </row>
        <row r="1653">
          <cell r="A1653">
            <v>2</v>
          </cell>
          <cell r="B1653">
            <v>2007</v>
          </cell>
          <cell r="C1653">
            <v>1</v>
          </cell>
          <cell r="D1653" t="str">
            <v>Production</v>
          </cell>
          <cell r="E1653" t="str">
            <v>Unknown- Lct</v>
          </cell>
          <cell r="F1653" t="str">
            <v>Conventional</v>
          </cell>
          <cell r="G1653">
            <v>0</v>
          </cell>
          <cell r="H1653" t="str">
            <v>Production;Unknown- Lct;Conventional</v>
          </cell>
          <cell r="I1653" t="str">
            <v>Unknown- Lct;Conventional;0;2</v>
          </cell>
          <cell r="J1653" t="str">
            <v>AB</v>
          </cell>
          <cell r="K1653" t="str">
            <v>Medium</v>
          </cell>
          <cell r="L1653">
            <v>3</v>
          </cell>
        </row>
        <row r="1654">
          <cell r="A1654">
            <v>3</v>
          </cell>
          <cell r="B1654">
            <v>2007</v>
          </cell>
          <cell r="C1654">
            <v>1</v>
          </cell>
          <cell r="D1654" t="str">
            <v>Production</v>
          </cell>
          <cell r="E1654" t="str">
            <v>Unknown- Lct</v>
          </cell>
          <cell r="F1654" t="str">
            <v>Conventional</v>
          </cell>
          <cell r="G1654">
            <v>0</v>
          </cell>
          <cell r="H1654" t="str">
            <v>Production;Unknown- Lct;Conventional</v>
          </cell>
          <cell r="I1654" t="str">
            <v>Unknown- Lct;Conventional;0;3</v>
          </cell>
          <cell r="J1654" t="str">
            <v>AB</v>
          </cell>
          <cell r="K1654" t="str">
            <v>Shallow</v>
          </cell>
          <cell r="L1654">
            <v>1</v>
          </cell>
          <cell r="M1654">
            <v>2</v>
          </cell>
        </row>
        <row r="1655">
          <cell r="A1655">
            <v>4</v>
          </cell>
          <cell r="B1655">
            <v>2007</v>
          </cell>
          <cell r="C1655">
            <v>1</v>
          </cell>
          <cell r="D1655" t="str">
            <v>Production</v>
          </cell>
          <cell r="E1655" t="str">
            <v>Unknown- Lct</v>
          </cell>
          <cell r="F1655" t="str">
            <v>Conventional</v>
          </cell>
          <cell r="G1655">
            <v>0</v>
          </cell>
          <cell r="H1655" t="str">
            <v>Production;Unknown- Lct;Conventional</v>
          </cell>
          <cell r="I1655" t="str">
            <v>Unknown- Lct;Conventional;0;4</v>
          </cell>
          <cell r="J1655" t="str">
            <v>AB</v>
          </cell>
          <cell r="K1655" t="str">
            <v>Medium</v>
          </cell>
          <cell r="L1655">
            <v>1</v>
          </cell>
        </row>
        <row r="1656">
          <cell r="A1656">
            <v>5</v>
          </cell>
          <cell r="B1656">
            <v>2005</v>
          </cell>
          <cell r="C1656">
            <v>1</v>
          </cell>
          <cell r="D1656" t="str">
            <v>Production</v>
          </cell>
          <cell r="E1656" t="str">
            <v>Unknown- Lct</v>
          </cell>
          <cell r="F1656" t="str">
            <v>Conventional</v>
          </cell>
          <cell r="G1656">
            <v>0</v>
          </cell>
          <cell r="H1656" t="str">
            <v>Production;Unknown- Lct;Conventional</v>
          </cell>
          <cell r="I1656" t="str">
            <v>Unknown- Lct;Conventional;0;5</v>
          </cell>
          <cell r="J1656" t="str">
            <v>AB</v>
          </cell>
          <cell r="K1656" t="str">
            <v>Medium</v>
          </cell>
          <cell r="L1656">
            <v>1</v>
          </cell>
        </row>
        <row r="1657">
          <cell r="A1657">
            <v>5</v>
          </cell>
          <cell r="B1657">
            <v>2007</v>
          </cell>
          <cell r="C1657">
            <v>1</v>
          </cell>
          <cell r="D1657" t="str">
            <v>Production</v>
          </cell>
          <cell r="E1657" t="str">
            <v>Unknown- Lct</v>
          </cell>
          <cell r="F1657" t="str">
            <v>Conventional</v>
          </cell>
          <cell r="G1657">
            <v>0</v>
          </cell>
          <cell r="H1657" t="str">
            <v>Production;Unknown- Lct;Conventional</v>
          </cell>
          <cell r="I1657" t="str">
            <v>Unknown- Lct;Conventional;0;5</v>
          </cell>
          <cell r="J1657" t="str">
            <v>AB</v>
          </cell>
          <cell r="K1657" t="str">
            <v>Medium</v>
          </cell>
          <cell r="L1657">
            <v>3</v>
          </cell>
        </row>
        <row r="1658">
          <cell r="A1658">
            <v>6</v>
          </cell>
          <cell r="B1658">
            <v>2007</v>
          </cell>
          <cell r="C1658">
            <v>1</v>
          </cell>
          <cell r="D1658" t="str">
            <v>Production</v>
          </cell>
          <cell r="E1658" t="str">
            <v>Unknown- Lct</v>
          </cell>
          <cell r="F1658" t="str">
            <v>Conventional</v>
          </cell>
          <cell r="G1658">
            <v>0</v>
          </cell>
          <cell r="H1658" t="str">
            <v>Production;Unknown- Lct;Conventional</v>
          </cell>
          <cell r="I1658" t="str">
            <v>Unknown- Lct;Conventional;0;6</v>
          </cell>
          <cell r="J1658" t="str">
            <v>AB</v>
          </cell>
          <cell r="K1658" t="str">
            <v>Medium</v>
          </cell>
          <cell r="L1658">
            <v>1</v>
          </cell>
        </row>
        <row r="1659">
          <cell r="A1659">
            <v>6</v>
          </cell>
          <cell r="B1659">
            <v>2007</v>
          </cell>
          <cell r="C1659">
            <v>1</v>
          </cell>
          <cell r="D1659" t="str">
            <v>Production</v>
          </cell>
          <cell r="E1659" t="str">
            <v>Unknown- Lct</v>
          </cell>
          <cell r="F1659" t="str">
            <v>Conventional</v>
          </cell>
          <cell r="G1659">
            <v>0</v>
          </cell>
          <cell r="H1659" t="str">
            <v>Production;Unknown- Lct;Conventional</v>
          </cell>
          <cell r="I1659" t="str">
            <v>Unknown- Lct;Conventional;0;6</v>
          </cell>
          <cell r="J1659" t="str">
            <v>AB</v>
          </cell>
          <cell r="K1659" t="str">
            <v>Shallow</v>
          </cell>
          <cell r="L1659">
            <v>1</v>
          </cell>
        </row>
        <row r="1660">
          <cell r="A1660">
            <v>7</v>
          </cell>
          <cell r="B1660">
            <v>2007</v>
          </cell>
          <cell r="C1660">
            <v>1</v>
          </cell>
          <cell r="D1660" t="str">
            <v>Production</v>
          </cell>
          <cell r="E1660" t="str">
            <v>Unknown- Lct</v>
          </cell>
          <cell r="F1660" t="str">
            <v>Conventional</v>
          </cell>
          <cell r="G1660">
            <v>0</v>
          </cell>
          <cell r="H1660" t="str">
            <v>Production;Unknown- Lct;Conventional</v>
          </cell>
          <cell r="I1660" t="str">
            <v>Unknown- Lct;Conventional;0;7</v>
          </cell>
          <cell r="J1660" t="str">
            <v>AB</v>
          </cell>
          <cell r="K1660" t="str">
            <v>Shallow</v>
          </cell>
          <cell r="L1660">
            <v>1</v>
          </cell>
        </row>
        <row r="1661">
          <cell r="A1661">
            <v>8</v>
          </cell>
          <cell r="B1661">
            <v>2002</v>
          </cell>
          <cell r="C1661">
            <v>1</v>
          </cell>
          <cell r="D1661" t="str">
            <v>Production</v>
          </cell>
          <cell r="E1661" t="str">
            <v>Unknown- Lct</v>
          </cell>
          <cell r="F1661" t="str">
            <v>Conventional</v>
          </cell>
          <cell r="G1661">
            <v>0</v>
          </cell>
          <cell r="H1661" t="str">
            <v>Production;Unknown- Lct;Conventional</v>
          </cell>
          <cell r="I1661" t="str">
            <v>Unknown- Lct;Conventional;0;8</v>
          </cell>
          <cell r="J1661" t="str">
            <v>BC</v>
          </cell>
          <cell r="K1661" t="str">
            <v>Shallow</v>
          </cell>
          <cell r="L1661">
            <v>1</v>
          </cell>
          <cell r="M1661">
            <v>6</v>
          </cell>
        </row>
        <row r="1662">
          <cell r="A1662">
            <v>8</v>
          </cell>
          <cell r="B1662">
            <v>2003</v>
          </cell>
          <cell r="C1662">
            <v>1</v>
          </cell>
          <cell r="D1662" t="str">
            <v>Production</v>
          </cell>
          <cell r="E1662" t="str">
            <v>Unknown- Lct</v>
          </cell>
          <cell r="F1662" t="str">
            <v>Conventional</v>
          </cell>
          <cell r="G1662">
            <v>0</v>
          </cell>
          <cell r="H1662" t="str">
            <v>Production;Unknown- Lct;Conventional</v>
          </cell>
          <cell r="I1662" t="str">
            <v>Unknown- Lct;Conventional;0;8</v>
          </cell>
          <cell r="J1662" t="str">
            <v>BC</v>
          </cell>
          <cell r="K1662" t="str">
            <v>Medium</v>
          </cell>
          <cell r="L1662">
            <v>1</v>
          </cell>
          <cell r="M1662">
            <v>22</v>
          </cell>
        </row>
        <row r="1663">
          <cell r="A1663">
            <v>8</v>
          </cell>
          <cell r="B1663">
            <v>2005</v>
          </cell>
          <cell r="C1663">
            <v>1</v>
          </cell>
          <cell r="D1663" t="str">
            <v>Production</v>
          </cell>
          <cell r="E1663" t="str">
            <v>Unknown- Lct</v>
          </cell>
          <cell r="F1663" t="str">
            <v>Conventional</v>
          </cell>
          <cell r="G1663">
            <v>0</v>
          </cell>
          <cell r="H1663" t="str">
            <v>Production;Unknown- Lct;Conventional</v>
          </cell>
          <cell r="I1663" t="str">
            <v>Unknown- Lct;Conventional;0;8</v>
          </cell>
          <cell r="J1663" t="str">
            <v>BC</v>
          </cell>
          <cell r="K1663" t="str">
            <v>Deep</v>
          </cell>
          <cell r="L1663">
            <v>1</v>
          </cell>
          <cell r="M1663">
            <v>17</v>
          </cell>
        </row>
        <row r="1664">
          <cell r="A1664">
            <v>8</v>
          </cell>
          <cell r="B1664">
            <v>2005</v>
          </cell>
          <cell r="C1664">
            <v>1</v>
          </cell>
          <cell r="D1664" t="str">
            <v>Production</v>
          </cell>
          <cell r="E1664" t="str">
            <v>Unknown- Lct</v>
          </cell>
          <cell r="F1664" t="str">
            <v>Conventional</v>
          </cell>
          <cell r="G1664">
            <v>0</v>
          </cell>
          <cell r="H1664" t="str">
            <v>Production;Unknown- Lct;Conventional</v>
          </cell>
          <cell r="I1664" t="str">
            <v>Unknown- Lct;Conventional;0;8</v>
          </cell>
          <cell r="J1664" t="str">
            <v>BC</v>
          </cell>
          <cell r="K1664" t="str">
            <v>Medium</v>
          </cell>
          <cell r="L1664">
            <v>3</v>
          </cell>
          <cell r="M1664">
            <v>39</v>
          </cell>
        </row>
        <row r="1665">
          <cell r="A1665">
            <v>8</v>
          </cell>
          <cell r="B1665">
            <v>2005</v>
          </cell>
          <cell r="C1665">
            <v>1</v>
          </cell>
          <cell r="D1665" t="str">
            <v>Production</v>
          </cell>
          <cell r="E1665" t="str">
            <v>Unknown- Lct</v>
          </cell>
          <cell r="F1665" t="str">
            <v>Conventional</v>
          </cell>
          <cell r="G1665">
            <v>0</v>
          </cell>
          <cell r="H1665" t="str">
            <v>Production;Unknown- Lct;Conventional</v>
          </cell>
          <cell r="I1665" t="str">
            <v>Unknown- Lct;Conventional;0;8</v>
          </cell>
          <cell r="J1665" t="str">
            <v>BC</v>
          </cell>
          <cell r="K1665" t="str">
            <v>Shallow</v>
          </cell>
          <cell r="L1665">
            <v>1</v>
          </cell>
          <cell r="M1665">
            <v>2.3333330000000001</v>
          </cell>
        </row>
        <row r="1666">
          <cell r="A1666">
            <v>8</v>
          </cell>
          <cell r="B1666">
            <v>2006</v>
          </cell>
          <cell r="C1666">
            <v>1</v>
          </cell>
          <cell r="D1666" t="str">
            <v>Production</v>
          </cell>
          <cell r="E1666" t="str">
            <v>Unknown- Lct</v>
          </cell>
          <cell r="F1666" t="str">
            <v>Conventional</v>
          </cell>
          <cell r="G1666">
            <v>0</v>
          </cell>
          <cell r="H1666" t="str">
            <v>Production;Unknown- Lct;Conventional</v>
          </cell>
          <cell r="I1666" t="str">
            <v>Unknown- Lct;Conventional;0;8</v>
          </cell>
          <cell r="J1666" t="str">
            <v>BC</v>
          </cell>
          <cell r="K1666" t="str">
            <v>Deep</v>
          </cell>
          <cell r="L1666">
            <v>13</v>
          </cell>
          <cell r="M1666">
            <v>432</v>
          </cell>
        </row>
        <row r="1667">
          <cell r="A1667">
            <v>8</v>
          </cell>
          <cell r="B1667">
            <v>2006</v>
          </cell>
          <cell r="C1667">
            <v>1</v>
          </cell>
          <cell r="D1667" t="str">
            <v>Production</v>
          </cell>
          <cell r="E1667" t="str">
            <v>Unknown- Lct</v>
          </cell>
          <cell r="F1667" t="str">
            <v>Conventional</v>
          </cell>
          <cell r="G1667">
            <v>0</v>
          </cell>
          <cell r="H1667" t="str">
            <v>Production;Unknown- Lct;Conventional</v>
          </cell>
          <cell r="I1667" t="str">
            <v>Unknown- Lct;Conventional;0;8</v>
          </cell>
          <cell r="J1667" t="str">
            <v>BC</v>
          </cell>
          <cell r="K1667" t="str">
            <v>Medium</v>
          </cell>
          <cell r="L1667">
            <v>31</v>
          </cell>
          <cell r="M1667">
            <v>511.5</v>
          </cell>
        </row>
        <row r="1668">
          <cell r="A1668">
            <v>8</v>
          </cell>
          <cell r="B1668">
            <v>2006</v>
          </cell>
          <cell r="C1668">
            <v>1</v>
          </cell>
          <cell r="D1668" t="str">
            <v>Production</v>
          </cell>
          <cell r="E1668" t="str">
            <v>Unknown- Lct</v>
          </cell>
          <cell r="F1668" t="str">
            <v>Conventional</v>
          </cell>
          <cell r="G1668">
            <v>0</v>
          </cell>
          <cell r="H1668" t="str">
            <v>Production;Unknown- Lct;Conventional</v>
          </cell>
          <cell r="I1668" t="str">
            <v>Unknown- Lct;Conventional;0;8</v>
          </cell>
          <cell r="J1668" t="str">
            <v>BC</v>
          </cell>
          <cell r="K1668" t="str">
            <v>Shallow</v>
          </cell>
          <cell r="L1668">
            <v>5</v>
          </cell>
          <cell r="M1668">
            <v>83</v>
          </cell>
        </row>
        <row r="1669">
          <cell r="A1669">
            <v>8</v>
          </cell>
          <cell r="B1669">
            <v>2007</v>
          </cell>
          <cell r="C1669">
            <v>1</v>
          </cell>
          <cell r="D1669" t="str">
            <v>Production</v>
          </cell>
          <cell r="E1669" t="str">
            <v>Unknown- Lct</v>
          </cell>
          <cell r="F1669" t="str">
            <v>Conventional</v>
          </cell>
          <cell r="G1669">
            <v>0</v>
          </cell>
          <cell r="H1669" t="str">
            <v>Production;Unknown- Lct;Conventional</v>
          </cell>
          <cell r="I1669" t="str">
            <v>Unknown- Lct;Conventional;0;8</v>
          </cell>
          <cell r="J1669" t="str">
            <v>BC</v>
          </cell>
          <cell r="K1669" t="str">
            <v>Deep</v>
          </cell>
          <cell r="L1669">
            <v>21</v>
          </cell>
          <cell r="M1669">
            <v>810.5</v>
          </cell>
        </row>
        <row r="1670">
          <cell r="A1670">
            <v>8</v>
          </cell>
          <cell r="B1670">
            <v>2007</v>
          </cell>
          <cell r="C1670">
            <v>1</v>
          </cell>
          <cell r="D1670" t="str">
            <v>Production</v>
          </cell>
          <cell r="E1670" t="str">
            <v>Unknown- Lct</v>
          </cell>
          <cell r="F1670" t="str">
            <v>Conventional</v>
          </cell>
          <cell r="G1670">
            <v>0</v>
          </cell>
          <cell r="H1670" t="str">
            <v>Production;Unknown- Lct;Conventional</v>
          </cell>
          <cell r="I1670" t="str">
            <v>Unknown- Lct;Conventional;0;8</v>
          </cell>
          <cell r="J1670" t="str">
            <v>BC</v>
          </cell>
          <cell r="K1670" t="str">
            <v>Medium</v>
          </cell>
          <cell r="L1670">
            <v>64</v>
          </cell>
          <cell r="M1670">
            <v>802</v>
          </cell>
        </row>
        <row r="1671">
          <cell r="A1671">
            <v>8</v>
          </cell>
          <cell r="B1671">
            <v>2007</v>
          </cell>
          <cell r="C1671">
            <v>1</v>
          </cell>
          <cell r="D1671" t="str">
            <v>Production</v>
          </cell>
          <cell r="E1671" t="str">
            <v>Unknown- Lct</v>
          </cell>
          <cell r="F1671" t="str">
            <v>Conventional</v>
          </cell>
          <cell r="G1671">
            <v>0</v>
          </cell>
          <cell r="H1671" t="str">
            <v>Production;Unknown- Lct;Conventional</v>
          </cell>
          <cell r="I1671" t="str">
            <v>Unknown- Lct;Conventional;0;8</v>
          </cell>
          <cell r="J1671" t="str">
            <v>BC</v>
          </cell>
          <cell r="K1671" t="str">
            <v>Shallow</v>
          </cell>
          <cell r="L1671">
            <v>28</v>
          </cell>
          <cell r="M1671">
            <v>480.6</v>
          </cell>
        </row>
        <row r="1672">
          <cell r="A1672">
            <v>9</v>
          </cell>
          <cell r="B1672">
            <v>2001</v>
          </cell>
          <cell r="C1672">
            <v>1</v>
          </cell>
          <cell r="D1672" t="str">
            <v>Production</v>
          </cell>
          <cell r="E1672" t="str">
            <v>Unknown- Lct</v>
          </cell>
          <cell r="F1672" t="str">
            <v>Conventional</v>
          </cell>
          <cell r="G1672">
            <v>0</v>
          </cell>
          <cell r="H1672" t="str">
            <v>Production;Unknown- Lct;Conventional</v>
          </cell>
          <cell r="I1672" t="str">
            <v>Unknown- Lct;Conventional;0;9</v>
          </cell>
          <cell r="J1672" t="str">
            <v>BC</v>
          </cell>
          <cell r="K1672" t="str">
            <v>Deep</v>
          </cell>
          <cell r="L1672">
            <v>1</v>
          </cell>
          <cell r="M1672">
            <v>41</v>
          </cell>
        </row>
        <row r="1673">
          <cell r="A1673">
            <v>9</v>
          </cell>
          <cell r="B1673">
            <v>2003</v>
          </cell>
          <cell r="C1673">
            <v>1</v>
          </cell>
          <cell r="D1673" t="str">
            <v>Production</v>
          </cell>
          <cell r="E1673" t="str">
            <v>Unknown- Lct</v>
          </cell>
          <cell r="F1673" t="str">
            <v>Conventional</v>
          </cell>
          <cell r="G1673">
            <v>0</v>
          </cell>
          <cell r="H1673" t="str">
            <v>Production;Unknown- Lct;Conventional</v>
          </cell>
          <cell r="I1673" t="str">
            <v>Unknown- Lct;Conventional;0;9</v>
          </cell>
          <cell r="J1673" t="str">
            <v>BC</v>
          </cell>
          <cell r="K1673" t="str">
            <v>Deep</v>
          </cell>
          <cell r="L1673">
            <v>1</v>
          </cell>
          <cell r="M1673">
            <v>33</v>
          </cell>
        </row>
        <row r="1674">
          <cell r="A1674">
            <v>9</v>
          </cell>
          <cell r="B1674">
            <v>2004</v>
          </cell>
          <cell r="C1674">
            <v>1</v>
          </cell>
          <cell r="D1674" t="str">
            <v>Production</v>
          </cell>
          <cell r="E1674" t="str">
            <v>Unknown- Lct</v>
          </cell>
          <cell r="F1674" t="str">
            <v>Conventional</v>
          </cell>
          <cell r="G1674">
            <v>0</v>
          </cell>
          <cell r="H1674" t="str">
            <v>Production;Unknown- Lct;Conventional</v>
          </cell>
          <cell r="I1674" t="str">
            <v>Unknown- Lct;Conventional;0;9</v>
          </cell>
          <cell r="J1674" t="str">
            <v>BC</v>
          </cell>
          <cell r="K1674" t="str">
            <v>Medium</v>
          </cell>
          <cell r="L1674">
            <v>3</v>
          </cell>
          <cell r="M1674">
            <v>105</v>
          </cell>
        </row>
        <row r="1675">
          <cell r="A1675">
            <v>9</v>
          </cell>
          <cell r="B1675">
            <v>2005</v>
          </cell>
          <cell r="C1675">
            <v>2</v>
          </cell>
          <cell r="D1675" t="str">
            <v>Production</v>
          </cell>
          <cell r="E1675" t="str">
            <v>Unknown- Lct</v>
          </cell>
          <cell r="F1675" t="str">
            <v>Conventional</v>
          </cell>
          <cell r="G1675">
            <v>0</v>
          </cell>
          <cell r="H1675" t="str">
            <v>Production;Unknown- Lct;Conventional</v>
          </cell>
          <cell r="I1675" t="str">
            <v>Unknown- Lct;Conventional;0;9</v>
          </cell>
          <cell r="J1675" t="str">
            <v>BC</v>
          </cell>
          <cell r="K1675" t="str">
            <v>Medium</v>
          </cell>
          <cell r="L1675">
            <v>1</v>
          </cell>
          <cell r="M1675">
            <v>25</v>
          </cell>
        </row>
        <row r="1676">
          <cell r="A1676">
            <v>9</v>
          </cell>
          <cell r="B1676">
            <v>2006</v>
          </cell>
          <cell r="C1676">
            <v>1</v>
          </cell>
          <cell r="D1676" t="str">
            <v>Production</v>
          </cell>
          <cell r="E1676" t="str">
            <v>Unknown- Lct</v>
          </cell>
          <cell r="F1676" t="str">
            <v>Conventional</v>
          </cell>
          <cell r="G1676">
            <v>0</v>
          </cell>
          <cell r="H1676" t="str">
            <v>Production;Unknown- Lct;Conventional</v>
          </cell>
          <cell r="I1676" t="str">
            <v>Unknown- Lct;Conventional;0;9</v>
          </cell>
          <cell r="J1676" t="str">
            <v>BC</v>
          </cell>
          <cell r="K1676" t="str">
            <v>Deep</v>
          </cell>
          <cell r="L1676">
            <v>3</v>
          </cell>
          <cell r="M1676">
            <v>106</v>
          </cell>
        </row>
        <row r="1677">
          <cell r="A1677">
            <v>9</v>
          </cell>
          <cell r="B1677">
            <v>2006</v>
          </cell>
          <cell r="C1677">
            <v>1</v>
          </cell>
          <cell r="D1677" t="str">
            <v>Production</v>
          </cell>
          <cell r="E1677" t="str">
            <v>Unknown- Lct</v>
          </cell>
          <cell r="F1677" t="str">
            <v>Conventional</v>
          </cell>
          <cell r="G1677">
            <v>0</v>
          </cell>
          <cell r="H1677" t="str">
            <v>Production;Unknown- Lct;Conventional</v>
          </cell>
          <cell r="I1677" t="str">
            <v>Unknown- Lct;Conventional;0;9</v>
          </cell>
          <cell r="J1677" t="str">
            <v>BC</v>
          </cell>
          <cell r="K1677" t="str">
            <v>Medium</v>
          </cell>
          <cell r="L1677">
            <v>11</v>
          </cell>
          <cell r="M1677">
            <v>123</v>
          </cell>
        </row>
        <row r="1678">
          <cell r="A1678">
            <v>9</v>
          </cell>
          <cell r="B1678">
            <v>2007</v>
          </cell>
          <cell r="C1678">
            <v>1</v>
          </cell>
          <cell r="D1678" t="str">
            <v>Production</v>
          </cell>
          <cell r="E1678" t="str">
            <v>Unknown- Lct</v>
          </cell>
          <cell r="F1678" t="str">
            <v>Conventional</v>
          </cell>
          <cell r="G1678">
            <v>0</v>
          </cell>
          <cell r="H1678" t="str">
            <v>Production;Unknown- Lct;Conventional</v>
          </cell>
          <cell r="I1678" t="str">
            <v>Unknown- Lct;Conventional;0;9</v>
          </cell>
          <cell r="J1678" t="str">
            <v>BC</v>
          </cell>
          <cell r="K1678" t="str">
            <v>Deep</v>
          </cell>
          <cell r="L1678">
            <v>12</v>
          </cell>
          <cell r="M1678">
            <v>261.5</v>
          </cell>
        </row>
        <row r="1679">
          <cell r="A1679">
            <v>9</v>
          </cell>
          <cell r="B1679">
            <v>2007</v>
          </cell>
          <cell r="C1679">
            <v>1</v>
          </cell>
          <cell r="D1679" t="str">
            <v>Production</v>
          </cell>
          <cell r="E1679" t="str">
            <v>Unknown- Lct</v>
          </cell>
          <cell r="F1679" t="str">
            <v>Conventional</v>
          </cell>
          <cell r="G1679">
            <v>0</v>
          </cell>
          <cell r="H1679" t="str">
            <v>Production;Unknown- Lct;Conventional</v>
          </cell>
          <cell r="I1679" t="str">
            <v>Unknown- Lct;Conventional;0;9</v>
          </cell>
          <cell r="J1679" t="str">
            <v>BC</v>
          </cell>
          <cell r="K1679" t="str">
            <v>Medium</v>
          </cell>
          <cell r="L1679">
            <v>23</v>
          </cell>
          <cell r="M1679">
            <v>634.16669999999999</v>
          </cell>
        </row>
        <row r="1680">
          <cell r="A1680">
            <v>9</v>
          </cell>
          <cell r="B1680">
            <v>2007</v>
          </cell>
          <cell r="C1680">
            <v>1</v>
          </cell>
          <cell r="D1680" t="str">
            <v>Production</v>
          </cell>
          <cell r="E1680" t="str">
            <v>Unknown- Lct</v>
          </cell>
          <cell r="F1680" t="str">
            <v>Conventional</v>
          </cell>
          <cell r="G1680">
            <v>0</v>
          </cell>
          <cell r="H1680" t="str">
            <v>Production;Unknown- Lct;Conventional</v>
          </cell>
          <cell r="I1680" t="str">
            <v>Unknown- Lct;Conventional;0;9</v>
          </cell>
          <cell r="J1680" t="str">
            <v>BC</v>
          </cell>
          <cell r="K1680" t="str">
            <v>Shallow</v>
          </cell>
          <cell r="L1680">
            <v>1</v>
          </cell>
          <cell r="M1680">
            <v>5</v>
          </cell>
        </row>
        <row r="1681">
          <cell r="A1681">
            <v>10</v>
          </cell>
          <cell r="B1681">
            <v>2006</v>
          </cell>
          <cell r="C1681">
            <v>1</v>
          </cell>
          <cell r="D1681" t="str">
            <v>Production</v>
          </cell>
          <cell r="E1681" t="str">
            <v>Unknown- Lct</v>
          </cell>
          <cell r="F1681" t="str">
            <v>Conventional</v>
          </cell>
          <cell r="G1681">
            <v>0</v>
          </cell>
          <cell r="H1681" t="str">
            <v>Production;Unknown- Lct;Conventional</v>
          </cell>
          <cell r="I1681" t="str">
            <v>Unknown- Lct;Conventional;0;10</v>
          </cell>
          <cell r="J1681" t="str">
            <v>BC</v>
          </cell>
          <cell r="K1681" t="str">
            <v>Deep</v>
          </cell>
          <cell r="L1681">
            <v>6</v>
          </cell>
          <cell r="M1681">
            <v>495</v>
          </cell>
        </row>
        <row r="1682">
          <cell r="A1682">
            <v>10</v>
          </cell>
          <cell r="B1682">
            <v>2006</v>
          </cell>
          <cell r="C1682">
            <v>1</v>
          </cell>
          <cell r="D1682" t="str">
            <v>Production</v>
          </cell>
          <cell r="E1682" t="str">
            <v>Unknown- Lct</v>
          </cell>
          <cell r="F1682" t="str">
            <v>Conventional</v>
          </cell>
          <cell r="G1682">
            <v>0</v>
          </cell>
          <cell r="H1682" t="str">
            <v>Production;Unknown- Lct;Conventional</v>
          </cell>
          <cell r="I1682" t="str">
            <v>Unknown- Lct;Conventional;0;10</v>
          </cell>
          <cell r="J1682" t="str">
            <v>BC</v>
          </cell>
          <cell r="K1682" t="str">
            <v>Medium</v>
          </cell>
          <cell r="L1682">
            <v>6</v>
          </cell>
          <cell r="M1682">
            <v>86</v>
          </cell>
        </row>
        <row r="1683">
          <cell r="A1683">
            <v>10</v>
          </cell>
          <cell r="B1683">
            <v>2007</v>
          </cell>
          <cell r="C1683">
            <v>1</v>
          </cell>
          <cell r="D1683" t="str">
            <v>Production</v>
          </cell>
          <cell r="E1683" t="str">
            <v>Unknown- Lct</v>
          </cell>
          <cell r="F1683" t="str">
            <v>Conventional</v>
          </cell>
          <cell r="G1683">
            <v>0</v>
          </cell>
          <cell r="H1683" t="str">
            <v>Production;Unknown- Lct;Conventional</v>
          </cell>
          <cell r="I1683" t="str">
            <v>Unknown- Lct;Conventional;0;10</v>
          </cell>
          <cell r="J1683" t="str">
            <v>BC</v>
          </cell>
          <cell r="K1683" t="str">
            <v>Deep</v>
          </cell>
          <cell r="L1683">
            <v>14</v>
          </cell>
          <cell r="M1683">
            <v>1173.5</v>
          </cell>
        </row>
        <row r="1684">
          <cell r="A1684">
            <v>10</v>
          </cell>
          <cell r="B1684">
            <v>2007</v>
          </cell>
          <cell r="C1684">
            <v>1</v>
          </cell>
          <cell r="D1684" t="str">
            <v>Production</v>
          </cell>
          <cell r="E1684" t="str">
            <v>Unknown- Lct</v>
          </cell>
          <cell r="F1684" t="str">
            <v>Conventional</v>
          </cell>
          <cell r="G1684">
            <v>0</v>
          </cell>
          <cell r="H1684" t="str">
            <v>Production;Unknown- Lct;Conventional</v>
          </cell>
          <cell r="I1684" t="str">
            <v>Unknown- Lct;Conventional;0;10</v>
          </cell>
          <cell r="J1684" t="str">
            <v>BC</v>
          </cell>
          <cell r="K1684" t="str">
            <v>Medium</v>
          </cell>
          <cell r="L1684">
            <v>9</v>
          </cell>
          <cell r="M1684">
            <v>156</v>
          </cell>
        </row>
        <row r="1685">
          <cell r="A1685">
            <v>2</v>
          </cell>
          <cell r="B1685">
            <v>2000</v>
          </cell>
          <cell r="C1685">
            <v>1</v>
          </cell>
          <cell r="D1685" t="str">
            <v>Service-Devt</v>
          </cell>
          <cell r="E1685" t="str">
            <v>Gas</v>
          </cell>
          <cell r="F1685" t="str">
            <v>Conventional</v>
          </cell>
          <cell r="G1685">
            <v>0</v>
          </cell>
          <cell r="H1685" t="str">
            <v>Service/Storage</v>
          </cell>
          <cell r="I1685" t="str">
            <v>Gas;Conventional;0;2</v>
          </cell>
          <cell r="J1685" t="str">
            <v>AB</v>
          </cell>
          <cell r="K1685" t="str">
            <v>Deep</v>
          </cell>
          <cell r="L1685">
            <v>1</v>
          </cell>
          <cell r="M1685">
            <v>24</v>
          </cell>
        </row>
        <row r="1686">
          <cell r="A1686">
            <v>2</v>
          </cell>
          <cell r="B1686">
            <v>2004</v>
          </cell>
          <cell r="C1686">
            <v>1</v>
          </cell>
          <cell r="D1686" t="str">
            <v>Service-Devt</v>
          </cell>
          <cell r="E1686" t="str">
            <v>Gas</v>
          </cell>
          <cell r="F1686" t="str">
            <v>Conventional</v>
          </cell>
          <cell r="G1686">
            <v>0</v>
          </cell>
          <cell r="H1686" t="str">
            <v>Service/Storage</v>
          </cell>
          <cell r="I1686" t="str">
            <v>Gas;Conventional;0;2</v>
          </cell>
          <cell r="J1686" t="str">
            <v>AB</v>
          </cell>
          <cell r="K1686" t="str">
            <v>Deep</v>
          </cell>
          <cell r="L1686">
            <v>1</v>
          </cell>
          <cell r="M1686">
            <v>20</v>
          </cell>
        </row>
        <row r="1687">
          <cell r="A1687">
            <v>2</v>
          </cell>
          <cell r="B1687">
            <v>2005</v>
          </cell>
          <cell r="C1687">
            <v>1</v>
          </cell>
          <cell r="D1687" t="str">
            <v>Service-Devt</v>
          </cell>
          <cell r="E1687" t="str">
            <v>Gas</v>
          </cell>
          <cell r="F1687" t="str">
            <v>Conventional</v>
          </cell>
          <cell r="G1687">
            <v>0</v>
          </cell>
          <cell r="H1687" t="str">
            <v>Service/Storage</v>
          </cell>
          <cell r="I1687" t="str">
            <v>Gas;Conventional;0;2</v>
          </cell>
          <cell r="J1687" t="str">
            <v>AB</v>
          </cell>
          <cell r="K1687" t="str">
            <v>Deep</v>
          </cell>
          <cell r="L1687">
            <v>1</v>
          </cell>
          <cell r="M1687">
            <v>25</v>
          </cell>
        </row>
        <row r="1688">
          <cell r="A1688">
            <v>2</v>
          </cell>
          <cell r="B1688">
            <v>2006</v>
          </cell>
          <cell r="C1688">
            <v>1</v>
          </cell>
          <cell r="D1688" t="str">
            <v>Service-Devt</v>
          </cell>
          <cell r="E1688" t="str">
            <v>Gas</v>
          </cell>
          <cell r="F1688" t="str">
            <v>Conventional</v>
          </cell>
          <cell r="G1688">
            <v>0</v>
          </cell>
          <cell r="H1688" t="str">
            <v>Service/Storage</v>
          </cell>
          <cell r="I1688" t="str">
            <v>Gas;Conventional;0;2</v>
          </cell>
          <cell r="J1688" t="str">
            <v>AB</v>
          </cell>
          <cell r="K1688" t="str">
            <v>Medium</v>
          </cell>
          <cell r="L1688">
            <v>1</v>
          </cell>
          <cell r="M1688">
            <v>8</v>
          </cell>
        </row>
        <row r="1689">
          <cell r="A1689">
            <v>3</v>
          </cell>
          <cell r="B1689">
            <v>2000</v>
          </cell>
          <cell r="C1689">
            <v>1</v>
          </cell>
          <cell r="D1689" t="str">
            <v>Service-Devt</v>
          </cell>
          <cell r="E1689" t="str">
            <v>Gas</v>
          </cell>
          <cell r="F1689" t="str">
            <v>Conventional</v>
          </cell>
          <cell r="G1689">
            <v>0</v>
          </cell>
          <cell r="H1689" t="str">
            <v>Service/Storage</v>
          </cell>
          <cell r="I1689" t="str">
            <v>Gas;Conventional;0;3</v>
          </cell>
          <cell r="J1689" t="str">
            <v>AB</v>
          </cell>
          <cell r="K1689" t="str">
            <v>Medium</v>
          </cell>
          <cell r="L1689">
            <v>1</v>
          </cell>
          <cell r="M1689">
            <v>11</v>
          </cell>
        </row>
        <row r="1690">
          <cell r="A1690">
            <v>3</v>
          </cell>
          <cell r="B1690">
            <v>2001</v>
          </cell>
          <cell r="C1690">
            <v>1</v>
          </cell>
          <cell r="D1690" t="str">
            <v>Service-Devt</v>
          </cell>
          <cell r="E1690" t="str">
            <v>Gas</v>
          </cell>
          <cell r="F1690" t="str">
            <v>Conventional</v>
          </cell>
          <cell r="G1690">
            <v>0</v>
          </cell>
          <cell r="H1690" t="str">
            <v>Service/Storage</v>
          </cell>
          <cell r="I1690" t="str">
            <v>Gas;Conventional;0;3</v>
          </cell>
          <cell r="J1690" t="str">
            <v>AB</v>
          </cell>
          <cell r="K1690" t="str">
            <v>Shallow</v>
          </cell>
          <cell r="L1690">
            <v>1</v>
          </cell>
          <cell r="M1690">
            <v>1</v>
          </cell>
        </row>
        <row r="1691">
          <cell r="A1691">
            <v>3</v>
          </cell>
          <cell r="B1691">
            <v>2002</v>
          </cell>
          <cell r="C1691">
            <v>1</v>
          </cell>
          <cell r="D1691" t="str">
            <v>Service-Devt</v>
          </cell>
          <cell r="E1691" t="str">
            <v>Gas</v>
          </cell>
          <cell r="F1691" t="str">
            <v>Conventional</v>
          </cell>
          <cell r="G1691">
            <v>0</v>
          </cell>
          <cell r="H1691" t="str">
            <v>Service/Storage</v>
          </cell>
          <cell r="I1691" t="str">
            <v>Gas;Conventional;0;3</v>
          </cell>
          <cell r="J1691" t="str">
            <v>AB</v>
          </cell>
          <cell r="K1691" t="str">
            <v>Shallow</v>
          </cell>
          <cell r="L1691">
            <v>1</v>
          </cell>
          <cell r="M1691">
            <v>2</v>
          </cell>
        </row>
        <row r="1692">
          <cell r="A1692">
            <v>3</v>
          </cell>
          <cell r="B1692">
            <v>2003</v>
          </cell>
          <cell r="C1692">
            <v>1</v>
          </cell>
          <cell r="D1692" t="str">
            <v>Service-Devt</v>
          </cell>
          <cell r="E1692" t="str">
            <v>Gas</v>
          </cell>
          <cell r="F1692" t="str">
            <v>Conventional</v>
          </cell>
          <cell r="G1692">
            <v>0</v>
          </cell>
          <cell r="H1692" t="str">
            <v>Service/Storage</v>
          </cell>
          <cell r="I1692" t="str">
            <v>Gas;Conventional;0;3</v>
          </cell>
          <cell r="J1692" t="str">
            <v>AB</v>
          </cell>
          <cell r="K1692" t="str">
            <v>MEDIUM</v>
          </cell>
          <cell r="L1692">
            <v>1</v>
          </cell>
          <cell r="M1692">
            <v>5</v>
          </cell>
        </row>
        <row r="1693">
          <cell r="A1693">
            <v>3</v>
          </cell>
          <cell r="B1693">
            <v>2005</v>
          </cell>
          <cell r="C1693">
            <v>1</v>
          </cell>
          <cell r="D1693" t="str">
            <v>Service-Devt</v>
          </cell>
          <cell r="E1693" t="str">
            <v>Gas</v>
          </cell>
          <cell r="F1693" t="str">
            <v>Conventional</v>
          </cell>
          <cell r="G1693">
            <v>0</v>
          </cell>
          <cell r="H1693" t="str">
            <v>Service/Storage</v>
          </cell>
          <cell r="I1693" t="str">
            <v>Gas;Conventional;0;3</v>
          </cell>
          <cell r="J1693" t="str">
            <v>AB</v>
          </cell>
          <cell r="K1693" t="str">
            <v>Medium</v>
          </cell>
          <cell r="L1693">
            <v>1</v>
          </cell>
          <cell r="M1693">
            <v>13</v>
          </cell>
        </row>
        <row r="1694">
          <cell r="A1694">
            <v>3</v>
          </cell>
          <cell r="B1694">
            <v>2005</v>
          </cell>
          <cell r="C1694">
            <v>1</v>
          </cell>
          <cell r="D1694" t="str">
            <v>Service-Devt</v>
          </cell>
          <cell r="E1694" t="str">
            <v>Gas</v>
          </cell>
          <cell r="F1694" t="str">
            <v>Conventional</v>
          </cell>
          <cell r="G1694">
            <v>0</v>
          </cell>
          <cell r="H1694" t="str">
            <v>Service/Storage</v>
          </cell>
          <cell r="I1694" t="str">
            <v>Gas;Conventional;0;3</v>
          </cell>
          <cell r="J1694" t="str">
            <v>AB</v>
          </cell>
          <cell r="K1694" t="str">
            <v>Shallow</v>
          </cell>
          <cell r="L1694">
            <v>3</v>
          </cell>
          <cell r="M1694">
            <v>3.5</v>
          </cell>
        </row>
        <row r="1695">
          <cell r="A1695">
            <v>4</v>
          </cell>
          <cell r="B1695">
            <v>2006</v>
          </cell>
          <cell r="C1695">
            <v>1</v>
          </cell>
          <cell r="D1695" t="str">
            <v>Service-Devt</v>
          </cell>
          <cell r="E1695" t="str">
            <v>Gas</v>
          </cell>
          <cell r="F1695" t="str">
            <v>Conventional</v>
          </cell>
          <cell r="G1695">
            <v>0</v>
          </cell>
          <cell r="H1695" t="str">
            <v>Service/Storage</v>
          </cell>
          <cell r="I1695" t="str">
            <v>Gas;Conventional;0;4</v>
          </cell>
          <cell r="J1695" t="str">
            <v>AB</v>
          </cell>
          <cell r="K1695" t="str">
            <v>Shallow</v>
          </cell>
          <cell r="L1695">
            <v>1</v>
          </cell>
          <cell r="M1695">
            <v>4</v>
          </cell>
        </row>
        <row r="1696">
          <cell r="A1696">
            <v>6</v>
          </cell>
          <cell r="B1696">
            <v>2001</v>
          </cell>
          <cell r="C1696">
            <v>1</v>
          </cell>
          <cell r="D1696" t="str">
            <v>Service-Devt</v>
          </cell>
          <cell r="E1696" t="str">
            <v>Gas</v>
          </cell>
          <cell r="F1696" t="str">
            <v>Conventional</v>
          </cell>
          <cell r="G1696">
            <v>0</v>
          </cell>
          <cell r="H1696" t="str">
            <v>Service/Storage</v>
          </cell>
          <cell r="I1696" t="str">
            <v>Gas;Conventional;0;6</v>
          </cell>
          <cell r="J1696" t="str">
            <v>AB</v>
          </cell>
          <cell r="K1696" t="str">
            <v>DEEP</v>
          </cell>
          <cell r="L1696">
            <v>1</v>
          </cell>
          <cell r="M1696">
            <v>2.6666669999999999</v>
          </cell>
        </row>
        <row r="1697">
          <cell r="A1697">
            <v>7</v>
          </cell>
          <cell r="B1697">
            <v>2000</v>
          </cell>
          <cell r="C1697">
            <v>1</v>
          </cell>
          <cell r="D1697" t="str">
            <v>Service-Devt</v>
          </cell>
          <cell r="E1697" t="str">
            <v>Gas</v>
          </cell>
          <cell r="F1697" t="str">
            <v>Conventional</v>
          </cell>
          <cell r="G1697">
            <v>0</v>
          </cell>
          <cell r="H1697" t="str">
            <v>Service/Storage</v>
          </cell>
          <cell r="I1697" t="str">
            <v>Gas;Conventional;0;7</v>
          </cell>
          <cell r="J1697" t="str">
            <v>AB</v>
          </cell>
          <cell r="K1697" t="str">
            <v>MEDIUM</v>
          </cell>
          <cell r="L1697">
            <v>1</v>
          </cell>
          <cell r="M1697">
            <v>8</v>
          </cell>
        </row>
        <row r="1698">
          <cell r="A1698">
            <v>7</v>
          </cell>
          <cell r="B1698">
            <v>2001</v>
          </cell>
          <cell r="C1698">
            <v>1</v>
          </cell>
          <cell r="D1698" t="str">
            <v>Service-Devt</v>
          </cell>
          <cell r="E1698" t="str">
            <v>Gas</v>
          </cell>
          <cell r="F1698" t="str">
            <v>Conventional</v>
          </cell>
          <cell r="G1698">
            <v>0</v>
          </cell>
          <cell r="H1698" t="str">
            <v>Service/Storage</v>
          </cell>
          <cell r="I1698" t="str">
            <v>Gas;Conventional;0;7</v>
          </cell>
          <cell r="J1698" t="str">
            <v>AB</v>
          </cell>
          <cell r="K1698" t="str">
            <v>Medium</v>
          </cell>
          <cell r="L1698">
            <v>1</v>
          </cell>
          <cell r="M1698">
            <v>26</v>
          </cell>
        </row>
        <row r="1699">
          <cell r="A1699">
            <v>7</v>
          </cell>
          <cell r="B1699">
            <v>2001</v>
          </cell>
          <cell r="C1699">
            <v>1</v>
          </cell>
          <cell r="D1699" t="str">
            <v>Service-Devt</v>
          </cell>
          <cell r="E1699" t="str">
            <v>Gas</v>
          </cell>
          <cell r="F1699" t="str">
            <v>Conventional</v>
          </cell>
          <cell r="G1699">
            <v>0</v>
          </cell>
          <cell r="H1699" t="str">
            <v>Service/Storage</v>
          </cell>
          <cell r="I1699" t="str">
            <v>Gas;Conventional;0;7</v>
          </cell>
          <cell r="J1699" t="str">
            <v>AB</v>
          </cell>
          <cell r="K1699" t="str">
            <v>SHALLOW</v>
          </cell>
          <cell r="L1699">
            <v>1</v>
          </cell>
          <cell r="M1699">
            <v>3</v>
          </cell>
        </row>
        <row r="1700">
          <cell r="A1700">
            <v>7</v>
          </cell>
          <cell r="B1700">
            <v>2002</v>
          </cell>
          <cell r="C1700">
            <v>1</v>
          </cell>
          <cell r="D1700" t="str">
            <v>Service-Devt</v>
          </cell>
          <cell r="E1700" t="str">
            <v>Gas</v>
          </cell>
          <cell r="F1700" t="str">
            <v>Conventional</v>
          </cell>
          <cell r="G1700">
            <v>0</v>
          </cell>
          <cell r="H1700" t="str">
            <v>Service/Storage</v>
          </cell>
          <cell r="I1700" t="str">
            <v>Gas;Conventional;0;7</v>
          </cell>
          <cell r="J1700" t="str">
            <v>AB</v>
          </cell>
          <cell r="K1700" t="str">
            <v>MEDIUM</v>
          </cell>
          <cell r="L1700">
            <v>1</v>
          </cell>
          <cell r="M1700">
            <v>21</v>
          </cell>
        </row>
        <row r="1701">
          <cell r="A1701">
            <v>7</v>
          </cell>
          <cell r="B1701">
            <v>2002</v>
          </cell>
          <cell r="C1701">
            <v>1</v>
          </cell>
          <cell r="D1701" t="str">
            <v>Service-Devt</v>
          </cell>
          <cell r="E1701" t="str">
            <v>Gas</v>
          </cell>
          <cell r="F1701" t="str">
            <v>Conventional</v>
          </cell>
          <cell r="G1701">
            <v>0</v>
          </cell>
          <cell r="H1701" t="str">
            <v>Service/Storage</v>
          </cell>
          <cell r="I1701" t="str">
            <v>Gas;Conventional;0;7</v>
          </cell>
          <cell r="J1701" t="str">
            <v>AB</v>
          </cell>
          <cell r="K1701" t="str">
            <v>Shallow</v>
          </cell>
          <cell r="L1701">
            <v>1</v>
          </cell>
          <cell r="M1701">
            <v>20</v>
          </cell>
        </row>
        <row r="1702">
          <cell r="A1702">
            <v>7</v>
          </cell>
          <cell r="B1702">
            <v>2006</v>
          </cell>
          <cell r="C1702">
            <v>1</v>
          </cell>
          <cell r="D1702" t="str">
            <v>Service-Devt</v>
          </cell>
          <cell r="E1702" t="str">
            <v>Gas</v>
          </cell>
          <cell r="F1702" t="str">
            <v>Conventional</v>
          </cell>
          <cell r="G1702">
            <v>0</v>
          </cell>
          <cell r="H1702" t="str">
            <v>Service/Storage</v>
          </cell>
          <cell r="I1702" t="str">
            <v>Gas;Conventional;0;7</v>
          </cell>
          <cell r="J1702" t="str">
            <v>AB</v>
          </cell>
          <cell r="K1702" t="str">
            <v>Shallow</v>
          </cell>
          <cell r="L1702">
            <v>1</v>
          </cell>
          <cell r="M1702">
            <v>4</v>
          </cell>
        </row>
        <row r="1703">
          <cell r="A1703">
            <v>8</v>
          </cell>
          <cell r="B1703">
            <v>2001</v>
          </cell>
          <cell r="C1703">
            <v>1</v>
          </cell>
          <cell r="D1703" t="str">
            <v>Service-Devt</v>
          </cell>
          <cell r="E1703" t="str">
            <v>Gas</v>
          </cell>
          <cell r="F1703" t="str">
            <v>Conventional</v>
          </cell>
          <cell r="G1703">
            <v>0</v>
          </cell>
          <cell r="H1703" t="str">
            <v>Service/Storage</v>
          </cell>
          <cell r="I1703" t="str">
            <v>Gas;Conventional;0;8</v>
          </cell>
          <cell r="J1703" t="str">
            <v>BC</v>
          </cell>
          <cell r="K1703" t="str">
            <v>Deep</v>
          </cell>
          <cell r="L1703">
            <v>1</v>
          </cell>
          <cell r="M1703">
            <v>12</v>
          </cell>
        </row>
        <row r="1704">
          <cell r="A1704">
            <v>8</v>
          </cell>
          <cell r="B1704">
            <v>2001</v>
          </cell>
          <cell r="C1704">
            <v>1</v>
          </cell>
          <cell r="D1704" t="str">
            <v>Service-Devt</v>
          </cell>
          <cell r="E1704" t="str">
            <v>Gas</v>
          </cell>
          <cell r="F1704" t="str">
            <v>Conventional</v>
          </cell>
          <cell r="G1704">
            <v>0</v>
          </cell>
          <cell r="H1704" t="str">
            <v>Service/Storage</v>
          </cell>
          <cell r="I1704" t="str">
            <v>Gas;Conventional;0;8</v>
          </cell>
          <cell r="J1704" t="str">
            <v>BC</v>
          </cell>
          <cell r="K1704" t="str">
            <v>Shallow</v>
          </cell>
          <cell r="L1704">
            <v>1</v>
          </cell>
          <cell r="M1704">
            <v>6</v>
          </cell>
        </row>
        <row r="1705">
          <cell r="A1705">
            <v>8</v>
          </cell>
          <cell r="B1705">
            <v>2004</v>
          </cell>
          <cell r="C1705">
            <v>1</v>
          </cell>
          <cell r="D1705" t="str">
            <v>Service-Devt</v>
          </cell>
          <cell r="E1705" t="str">
            <v>Gas</v>
          </cell>
          <cell r="F1705" t="str">
            <v>Conventional</v>
          </cell>
          <cell r="G1705">
            <v>0</v>
          </cell>
          <cell r="H1705" t="str">
            <v>Service/Storage</v>
          </cell>
          <cell r="I1705" t="str">
            <v>Gas;Conventional;0;8</v>
          </cell>
          <cell r="J1705" t="str">
            <v>BC</v>
          </cell>
          <cell r="K1705" t="str">
            <v>Deep</v>
          </cell>
          <cell r="L1705">
            <v>1</v>
          </cell>
          <cell r="M1705">
            <v>332</v>
          </cell>
        </row>
        <row r="1706">
          <cell r="A1706">
            <v>8</v>
          </cell>
          <cell r="B1706">
            <v>2004</v>
          </cell>
          <cell r="C1706">
            <v>1</v>
          </cell>
          <cell r="D1706" t="str">
            <v>Service-Devt</v>
          </cell>
          <cell r="E1706" t="str">
            <v>Gas</v>
          </cell>
          <cell r="F1706" t="str">
            <v>Conventional</v>
          </cell>
          <cell r="G1706">
            <v>0</v>
          </cell>
          <cell r="H1706" t="str">
            <v>Service/Storage</v>
          </cell>
          <cell r="I1706" t="str">
            <v>Gas;Conventional;0;8</v>
          </cell>
          <cell r="J1706" t="str">
            <v>BC</v>
          </cell>
          <cell r="K1706" t="str">
            <v>Medium</v>
          </cell>
          <cell r="L1706">
            <v>1</v>
          </cell>
          <cell r="M1706">
            <v>215.5</v>
          </cell>
        </row>
        <row r="1707">
          <cell r="A1707">
            <v>9</v>
          </cell>
          <cell r="B1707">
            <v>2001</v>
          </cell>
          <cell r="C1707">
            <v>1</v>
          </cell>
          <cell r="D1707" t="str">
            <v>Service-Devt</v>
          </cell>
          <cell r="E1707" t="str">
            <v>Gas</v>
          </cell>
          <cell r="F1707" t="str">
            <v>Conventional</v>
          </cell>
          <cell r="G1707">
            <v>0</v>
          </cell>
          <cell r="H1707" t="str">
            <v>Service/Storage</v>
          </cell>
          <cell r="I1707" t="str">
            <v>Gas;Conventional;0;9</v>
          </cell>
          <cell r="J1707" t="str">
            <v>BC</v>
          </cell>
          <cell r="K1707" t="str">
            <v>MEDIUM</v>
          </cell>
          <cell r="L1707">
            <v>2</v>
          </cell>
          <cell r="M1707">
            <v>16</v>
          </cell>
        </row>
        <row r="1708">
          <cell r="A1708">
            <v>11</v>
          </cell>
          <cell r="B1708">
            <v>2000</v>
          </cell>
          <cell r="C1708">
            <v>1</v>
          </cell>
          <cell r="D1708" t="str">
            <v>Service-Devt</v>
          </cell>
          <cell r="E1708" t="str">
            <v>Gas</v>
          </cell>
          <cell r="F1708" t="str">
            <v>Conventional</v>
          </cell>
          <cell r="G1708">
            <v>0</v>
          </cell>
          <cell r="H1708" t="str">
            <v>Service/Storage</v>
          </cell>
          <cell r="I1708" t="str">
            <v>Gas;Conventional;0;11</v>
          </cell>
          <cell r="J1708" t="str">
            <v>SK</v>
          </cell>
          <cell r="K1708" t="str">
            <v>Medium</v>
          </cell>
          <cell r="L1708">
            <v>1</v>
          </cell>
          <cell r="M1708">
            <v>3</v>
          </cell>
        </row>
        <row r="1709">
          <cell r="A1709">
            <v>11</v>
          </cell>
          <cell r="B1709">
            <v>2003</v>
          </cell>
          <cell r="C1709">
            <v>1</v>
          </cell>
          <cell r="D1709" t="str">
            <v>Service-Devt</v>
          </cell>
          <cell r="E1709" t="str">
            <v>Gas</v>
          </cell>
          <cell r="F1709" t="str">
            <v>Conventional</v>
          </cell>
          <cell r="G1709">
            <v>0</v>
          </cell>
          <cell r="H1709" t="str">
            <v>Service/Storage</v>
          </cell>
          <cell r="I1709" t="str">
            <v>Gas;Conventional;0;11</v>
          </cell>
          <cell r="J1709" t="str">
            <v>SK</v>
          </cell>
          <cell r="K1709" t="str">
            <v>Shallow</v>
          </cell>
          <cell r="L1709">
            <v>1</v>
          </cell>
          <cell r="M1709">
            <v>2</v>
          </cell>
        </row>
        <row r="1710">
          <cell r="A1710">
            <v>11</v>
          </cell>
          <cell r="B1710">
            <v>2004</v>
          </cell>
          <cell r="C1710">
            <v>1</v>
          </cell>
          <cell r="D1710" t="str">
            <v>Service-Devt</v>
          </cell>
          <cell r="E1710" t="str">
            <v>Gas</v>
          </cell>
          <cell r="F1710" t="str">
            <v>Conventional</v>
          </cell>
          <cell r="G1710">
            <v>0</v>
          </cell>
          <cell r="H1710" t="str">
            <v>Service/Storage</v>
          </cell>
          <cell r="I1710" t="str">
            <v>Gas;Conventional;0;11</v>
          </cell>
          <cell r="J1710" t="str">
            <v>SK</v>
          </cell>
          <cell r="K1710" t="str">
            <v>Medium</v>
          </cell>
          <cell r="L1710">
            <v>1</v>
          </cell>
          <cell r="M1710">
            <v>3</v>
          </cell>
        </row>
        <row r="1711">
          <cell r="A1711">
            <v>1</v>
          </cell>
          <cell r="B1711">
            <v>2002</v>
          </cell>
          <cell r="C1711">
            <v>2</v>
          </cell>
          <cell r="D1711" t="str">
            <v>Service-Devt</v>
          </cell>
          <cell r="E1711" t="str">
            <v>Oil</v>
          </cell>
          <cell r="F1711" t="str">
            <v>Conventional</v>
          </cell>
          <cell r="G1711">
            <v>0</v>
          </cell>
          <cell r="H1711" t="str">
            <v>Service/Storage</v>
          </cell>
          <cell r="I1711" t="str">
            <v>Oil;Conventional;0;1</v>
          </cell>
          <cell r="J1711" t="str">
            <v>AB</v>
          </cell>
          <cell r="K1711" t="str">
            <v>MEDIUM</v>
          </cell>
          <cell r="L1711">
            <v>1</v>
          </cell>
          <cell r="M1711">
            <v>13</v>
          </cell>
        </row>
        <row r="1712">
          <cell r="A1712">
            <v>2</v>
          </cell>
          <cell r="B1712">
            <v>2000</v>
          </cell>
          <cell r="C1712">
            <v>1</v>
          </cell>
          <cell r="D1712" t="str">
            <v>Service-Devt</v>
          </cell>
          <cell r="E1712" t="str">
            <v>Oil</v>
          </cell>
          <cell r="F1712" t="str">
            <v>Conventional</v>
          </cell>
          <cell r="G1712">
            <v>0</v>
          </cell>
          <cell r="H1712" t="str">
            <v>Service/Storage</v>
          </cell>
          <cell r="I1712" t="str">
            <v>Oil;Conventional;0;2</v>
          </cell>
          <cell r="J1712" t="str">
            <v>AB</v>
          </cell>
          <cell r="K1712" t="str">
            <v>Medium</v>
          </cell>
          <cell r="L1712">
            <v>3</v>
          </cell>
          <cell r="M1712">
            <v>31.033332999999999</v>
          </cell>
        </row>
        <row r="1713">
          <cell r="A1713">
            <v>2</v>
          </cell>
          <cell r="B1713">
            <v>2000</v>
          </cell>
          <cell r="C1713">
            <v>2</v>
          </cell>
          <cell r="D1713" t="str">
            <v>Service-Devt</v>
          </cell>
          <cell r="E1713" t="str">
            <v>Oil</v>
          </cell>
          <cell r="F1713" t="str">
            <v>Conventional</v>
          </cell>
          <cell r="G1713">
            <v>0</v>
          </cell>
          <cell r="H1713" t="str">
            <v>Service/Storage</v>
          </cell>
          <cell r="I1713" t="str">
            <v>Oil;Conventional;0;2</v>
          </cell>
          <cell r="J1713" t="str">
            <v>AB</v>
          </cell>
          <cell r="K1713" t="str">
            <v>Deep</v>
          </cell>
          <cell r="L1713">
            <v>1</v>
          </cell>
          <cell r="M1713">
            <v>19</v>
          </cell>
        </row>
        <row r="1714">
          <cell r="A1714">
            <v>2</v>
          </cell>
          <cell r="B1714">
            <v>2001</v>
          </cell>
          <cell r="C1714">
            <v>1</v>
          </cell>
          <cell r="D1714" t="str">
            <v>Service-Devt</v>
          </cell>
          <cell r="E1714" t="str">
            <v>Oil</v>
          </cell>
          <cell r="F1714" t="str">
            <v>Conventional</v>
          </cell>
          <cell r="G1714">
            <v>0</v>
          </cell>
          <cell r="H1714" t="str">
            <v>Service/Storage</v>
          </cell>
          <cell r="I1714" t="str">
            <v>Oil;Conventional;0;2</v>
          </cell>
          <cell r="J1714" t="str">
            <v>AB</v>
          </cell>
          <cell r="K1714" t="str">
            <v>MEDIUM</v>
          </cell>
          <cell r="L1714">
            <v>4</v>
          </cell>
          <cell r="M1714">
            <v>82</v>
          </cell>
        </row>
        <row r="1715">
          <cell r="A1715">
            <v>2</v>
          </cell>
          <cell r="B1715">
            <v>2002</v>
          </cell>
          <cell r="C1715">
            <v>1</v>
          </cell>
          <cell r="D1715" t="str">
            <v>Service-Devt</v>
          </cell>
          <cell r="E1715" t="str">
            <v>Oil</v>
          </cell>
          <cell r="F1715" t="str">
            <v>Conventional</v>
          </cell>
          <cell r="G1715">
            <v>0</v>
          </cell>
          <cell r="H1715" t="str">
            <v>Service/Storage</v>
          </cell>
          <cell r="I1715" t="str">
            <v>Oil;Conventional;0;2</v>
          </cell>
          <cell r="J1715" t="str">
            <v>AB</v>
          </cell>
          <cell r="K1715" t="str">
            <v>Deep</v>
          </cell>
          <cell r="L1715">
            <v>4</v>
          </cell>
          <cell r="M1715">
            <v>45.5</v>
          </cell>
        </row>
        <row r="1716">
          <cell r="A1716">
            <v>2</v>
          </cell>
          <cell r="B1716">
            <v>2002</v>
          </cell>
          <cell r="C1716">
            <v>1</v>
          </cell>
          <cell r="D1716" t="str">
            <v>Service-Devt</v>
          </cell>
          <cell r="E1716" t="str">
            <v>Oil</v>
          </cell>
          <cell r="F1716" t="str">
            <v>Conventional</v>
          </cell>
          <cell r="G1716">
            <v>0</v>
          </cell>
          <cell r="H1716" t="str">
            <v>Service/Storage</v>
          </cell>
          <cell r="I1716" t="str">
            <v>Oil;Conventional;0;2</v>
          </cell>
          <cell r="J1716" t="str">
            <v>AB</v>
          </cell>
          <cell r="K1716" t="str">
            <v>Medium</v>
          </cell>
          <cell r="L1716">
            <v>5</v>
          </cell>
          <cell r="M1716">
            <v>45</v>
          </cell>
        </row>
        <row r="1717">
          <cell r="A1717">
            <v>2</v>
          </cell>
          <cell r="B1717">
            <v>2003</v>
          </cell>
          <cell r="C1717">
            <v>1</v>
          </cell>
          <cell r="D1717" t="str">
            <v>Service-Devt</v>
          </cell>
          <cell r="E1717" t="str">
            <v>Oil</v>
          </cell>
          <cell r="F1717" t="str">
            <v>Conventional</v>
          </cell>
          <cell r="G1717">
            <v>0</v>
          </cell>
          <cell r="H1717" t="str">
            <v>Service/Storage</v>
          </cell>
          <cell r="I1717" t="str">
            <v>Oil;Conventional;0;2</v>
          </cell>
          <cell r="J1717" t="str">
            <v>AB</v>
          </cell>
          <cell r="K1717" t="str">
            <v>Medium</v>
          </cell>
          <cell r="L1717">
            <v>7</v>
          </cell>
          <cell r="M1717">
            <v>45</v>
          </cell>
        </row>
        <row r="1718">
          <cell r="A1718">
            <v>2</v>
          </cell>
          <cell r="B1718">
            <v>2003</v>
          </cell>
          <cell r="C1718">
            <v>2</v>
          </cell>
          <cell r="D1718" t="str">
            <v>Service-Devt</v>
          </cell>
          <cell r="E1718" t="str">
            <v>Oil</v>
          </cell>
          <cell r="F1718" t="str">
            <v>Conventional</v>
          </cell>
          <cell r="G1718">
            <v>0</v>
          </cell>
          <cell r="H1718" t="str">
            <v>Service/Storage</v>
          </cell>
          <cell r="I1718" t="str">
            <v>Oil;Conventional;0;2</v>
          </cell>
          <cell r="J1718" t="str">
            <v>AB</v>
          </cell>
          <cell r="K1718" t="str">
            <v>Deep</v>
          </cell>
          <cell r="L1718">
            <v>1</v>
          </cell>
          <cell r="M1718">
            <v>2</v>
          </cell>
        </row>
        <row r="1719">
          <cell r="A1719">
            <v>2</v>
          </cell>
          <cell r="B1719">
            <v>2004</v>
          </cell>
          <cell r="C1719">
            <v>1</v>
          </cell>
          <cell r="D1719" t="str">
            <v>Service-Devt</v>
          </cell>
          <cell r="E1719" t="str">
            <v>Oil</v>
          </cell>
          <cell r="F1719" t="str">
            <v>Conventional</v>
          </cell>
          <cell r="G1719">
            <v>0</v>
          </cell>
          <cell r="H1719" t="str">
            <v>Service/Storage</v>
          </cell>
          <cell r="I1719" t="str">
            <v>Oil;Conventional;0;2</v>
          </cell>
          <cell r="J1719" t="str">
            <v>AB</v>
          </cell>
          <cell r="K1719" t="str">
            <v>Deep</v>
          </cell>
          <cell r="L1719">
            <v>1</v>
          </cell>
          <cell r="M1719">
            <v>11</v>
          </cell>
        </row>
        <row r="1720">
          <cell r="A1720">
            <v>2</v>
          </cell>
          <cell r="B1720">
            <v>2004</v>
          </cell>
          <cell r="C1720">
            <v>1</v>
          </cell>
          <cell r="D1720" t="str">
            <v>Service-Devt</v>
          </cell>
          <cell r="E1720" t="str">
            <v>Oil</v>
          </cell>
          <cell r="F1720" t="str">
            <v>Conventional</v>
          </cell>
          <cell r="G1720">
            <v>0</v>
          </cell>
          <cell r="H1720" t="str">
            <v>Service/Storage</v>
          </cell>
          <cell r="I1720" t="str">
            <v>Oil;Conventional;0;2</v>
          </cell>
          <cell r="J1720" t="str">
            <v>AB</v>
          </cell>
          <cell r="K1720" t="str">
            <v>Medium</v>
          </cell>
          <cell r="L1720">
            <v>5</v>
          </cell>
          <cell r="M1720">
            <v>37</v>
          </cell>
        </row>
        <row r="1721">
          <cell r="A1721">
            <v>2</v>
          </cell>
          <cell r="B1721">
            <v>2004</v>
          </cell>
          <cell r="C1721">
            <v>1</v>
          </cell>
          <cell r="D1721" t="str">
            <v>Service-Devt</v>
          </cell>
          <cell r="E1721" t="str">
            <v>Oil</v>
          </cell>
          <cell r="F1721" t="str">
            <v>Conventional</v>
          </cell>
          <cell r="G1721">
            <v>0</v>
          </cell>
          <cell r="H1721" t="str">
            <v>Service/Storage</v>
          </cell>
          <cell r="I1721" t="str">
            <v>Oil;Conventional;0;2</v>
          </cell>
          <cell r="J1721" t="str">
            <v>AB</v>
          </cell>
          <cell r="K1721" t="str">
            <v>Shallow</v>
          </cell>
          <cell r="L1721">
            <v>1</v>
          </cell>
          <cell r="M1721">
            <v>2</v>
          </cell>
        </row>
        <row r="1722">
          <cell r="A1722">
            <v>2</v>
          </cell>
          <cell r="B1722">
            <v>2005</v>
          </cell>
          <cell r="C1722">
            <v>1</v>
          </cell>
          <cell r="D1722" t="str">
            <v>Service-Devt</v>
          </cell>
          <cell r="E1722" t="str">
            <v>Oil</v>
          </cell>
          <cell r="F1722" t="str">
            <v>Conventional</v>
          </cell>
          <cell r="G1722">
            <v>0</v>
          </cell>
          <cell r="H1722" t="str">
            <v>Service/Storage</v>
          </cell>
          <cell r="I1722" t="str">
            <v>Oil;Conventional;0;2</v>
          </cell>
          <cell r="J1722" t="str">
            <v>AB</v>
          </cell>
          <cell r="K1722" t="str">
            <v>Medium</v>
          </cell>
          <cell r="L1722">
            <v>4</v>
          </cell>
          <cell r="M1722">
            <v>25</v>
          </cell>
        </row>
        <row r="1723">
          <cell r="A1723">
            <v>2</v>
          </cell>
          <cell r="B1723">
            <v>2005</v>
          </cell>
          <cell r="C1723">
            <v>2</v>
          </cell>
          <cell r="D1723" t="str">
            <v>Service-Devt</v>
          </cell>
          <cell r="E1723" t="str">
            <v>Oil</v>
          </cell>
          <cell r="F1723" t="str">
            <v>Conventional</v>
          </cell>
          <cell r="G1723">
            <v>0</v>
          </cell>
          <cell r="H1723" t="str">
            <v>Service/Storage</v>
          </cell>
          <cell r="I1723" t="str">
            <v>Oil;Conventional;0;2</v>
          </cell>
          <cell r="J1723" t="str">
            <v>AB</v>
          </cell>
          <cell r="K1723" t="str">
            <v>Deep</v>
          </cell>
          <cell r="L1723">
            <v>1</v>
          </cell>
          <cell r="M1723">
            <v>3</v>
          </cell>
        </row>
        <row r="1724">
          <cell r="A1724">
            <v>2</v>
          </cell>
          <cell r="B1724">
            <v>2006</v>
          </cell>
          <cell r="C1724">
            <v>1</v>
          </cell>
          <cell r="D1724" t="str">
            <v>Service-Devt</v>
          </cell>
          <cell r="E1724" t="str">
            <v>Oil</v>
          </cell>
          <cell r="F1724" t="str">
            <v>Conventional</v>
          </cell>
          <cell r="G1724">
            <v>0</v>
          </cell>
          <cell r="H1724" t="str">
            <v>Service/Storage</v>
          </cell>
          <cell r="I1724" t="str">
            <v>Oil;Conventional;0;2</v>
          </cell>
          <cell r="J1724" t="str">
            <v>AB</v>
          </cell>
          <cell r="K1724" t="str">
            <v>Medium</v>
          </cell>
          <cell r="L1724">
            <v>5</v>
          </cell>
          <cell r="M1724">
            <v>66</v>
          </cell>
        </row>
        <row r="1725">
          <cell r="A1725">
            <v>3</v>
          </cell>
          <cell r="B1725">
            <v>2000</v>
          </cell>
          <cell r="C1725">
            <v>1</v>
          </cell>
          <cell r="D1725" t="str">
            <v>Service-Devt</v>
          </cell>
          <cell r="E1725" t="str">
            <v>Oil</v>
          </cell>
          <cell r="F1725" t="str">
            <v>Conventional</v>
          </cell>
          <cell r="G1725">
            <v>0</v>
          </cell>
          <cell r="H1725" t="str">
            <v>Service/Storage</v>
          </cell>
          <cell r="I1725" t="str">
            <v>Oil;Conventional;0;3</v>
          </cell>
          <cell r="J1725" t="str">
            <v>AB</v>
          </cell>
          <cell r="K1725" t="str">
            <v>Medium</v>
          </cell>
          <cell r="L1725">
            <v>6</v>
          </cell>
          <cell r="M1725">
            <v>39</v>
          </cell>
        </row>
        <row r="1726">
          <cell r="A1726">
            <v>3</v>
          </cell>
          <cell r="B1726">
            <v>2000</v>
          </cell>
          <cell r="C1726">
            <v>1</v>
          </cell>
          <cell r="D1726" t="str">
            <v>Service-Devt</v>
          </cell>
          <cell r="E1726" t="str">
            <v>Oil</v>
          </cell>
          <cell r="F1726" t="str">
            <v>Conventional</v>
          </cell>
          <cell r="G1726">
            <v>0</v>
          </cell>
          <cell r="H1726" t="str">
            <v>Service/Storage</v>
          </cell>
          <cell r="I1726" t="str">
            <v>Oil;Conventional;0;3</v>
          </cell>
          <cell r="J1726" t="str">
            <v>AB</v>
          </cell>
          <cell r="K1726" t="str">
            <v>Shallow</v>
          </cell>
          <cell r="L1726">
            <v>22</v>
          </cell>
          <cell r="M1726">
            <v>87.5</v>
          </cell>
        </row>
        <row r="1727">
          <cell r="A1727">
            <v>3</v>
          </cell>
          <cell r="B1727">
            <v>2000</v>
          </cell>
          <cell r="C1727">
            <v>2</v>
          </cell>
          <cell r="D1727" t="str">
            <v>Service-Devt</v>
          </cell>
          <cell r="E1727" t="str">
            <v>Oil</v>
          </cell>
          <cell r="F1727" t="str">
            <v>Conventional</v>
          </cell>
          <cell r="G1727">
            <v>0</v>
          </cell>
          <cell r="H1727" t="str">
            <v>Service/Storage</v>
          </cell>
          <cell r="I1727" t="str">
            <v>Oil;Conventional;0;3</v>
          </cell>
          <cell r="J1727" t="str">
            <v>AB</v>
          </cell>
          <cell r="K1727" t="str">
            <v>Medium</v>
          </cell>
          <cell r="L1727">
            <v>1</v>
          </cell>
          <cell r="M1727">
            <v>5</v>
          </cell>
        </row>
        <row r="1728">
          <cell r="A1728">
            <v>3</v>
          </cell>
          <cell r="B1728">
            <v>2001</v>
          </cell>
          <cell r="C1728">
            <v>1</v>
          </cell>
          <cell r="D1728" t="str">
            <v>Service-Devt</v>
          </cell>
          <cell r="E1728" t="str">
            <v>Oil</v>
          </cell>
          <cell r="F1728" t="str">
            <v>Conventional</v>
          </cell>
          <cell r="G1728">
            <v>0</v>
          </cell>
          <cell r="H1728" t="str">
            <v>Service/Storage</v>
          </cell>
          <cell r="I1728" t="str">
            <v>Oil;Conventional;0;3</v>
          </cell>
          <cell r="J1728" t="str">
            <v>AB</v>
          </cell>
          <cell r="K1728" t="str">
            <v>MEDIUM</v>
          </cell>
          <cell r="L1728">
            <v>12</v>
          </cell>
          <cell r="M1728">
            <v>76</v>
          </cell>
        </row>
        <row r="1729">
          <cell r="A1729">
            <v>3</v>
          </cell>
          <cell r="B1729">
            <v>2001</v>
          </cell>
          <cell r="C1729">
            <v>1</v>
          </cell>
          <cell r="D1729" t="str">
            <v>Service-Devt</v>
          </cell>
          <cell r="E1729" t="str">
            <v>Oil</v>
          </cell>
          <cell r="F1729" t="str">
            <v>Conventional</v>
          </cell>
          <cell r="G1729">
            <v>0</v>
          </cell>
          <cell r="H1729" t="str">
            <v>Service/Storage</v>
          </cell>
          <cell r="I1729" t="str">
            <v>Oil;Conventional;0;3</v>
          </cell>
          <cell r="J1729" t="str">
            <v>AB</v>
          </cell>
          <cell r="K1729" t="str">
            <v>Shallow</v>
          </cell>
          <cell r="L1729">
            <v>4</v>
          </cell>
          <cell r="M1729">
            <v>17.5</v>
          </cell>
        </row>
        <row r="1730">
          <cell r="A1730">
            <v>3</v>
          </cell>
          <cell r="B1730">
            <v>2001</v>
          </cell>
          <cell r="C1730">
            <v>2</v>
          </cell>
          <cell r="D1730" t="str">
            <v>Service-Devt</v>
          </cell>
          <cell r="E1730" t="str">
            <v>Oil</v>
          </cell>
          <cell r="F1730" t="str">
            <v>Conventional</v>
          </cell>
          <cell r="G1730">
            <v>0</v>
          </cell>
          <cell r="H1730" t="str">
            <v>Service/Storage</v>
          </cell>
          <cell r="I1730" t="str">
            <v>Oil;Conventional;0;3</v>
          </cell>
          <cell r="J1730" t="str">
            <v>AB</v>
          </cell>
          <cell r="K1730" t="str">
            <v>Medium</v>
          </cell>
          <cell r="L1730">
            <v>2</v>
          </cell>
          <cell r="M1730">
            <v>17</v>
          </cell>
        </row>
        <row r="1731">
          <cell r="A1731">
            <v>3</v>
          </cell>
          <cell r="B1731">
            <v>2001</v>
          </cell>
          <cell r="C1731">
            <v>2</v>
          </cell>
          <cell r="D1731" t="str">
            <v>Service-Devt</v>
          </cell>
          <cell r="E1731" t="str">
            <v>Oil</v>
          </cell>
          <cell r="F1731" t="str">
            <v>Conventional</v>
          </cell>
          <cell r="G1731">
            <v>0</v>
          </cell>
          <cell r="H1731" t="str">
            <v>Service/Storage</v>
          </cell>
          <cell r="I1731" t="str">
            <v>Oil;Conventional;0;3</v>
          </cell>
          <cell r="J1731" t="str">
            <v>AB</v>
          </cell>
          <cell r="K1731" t="str">
            <v>Shallow</v>
          </cell>
          <cell r="L1731">
            <v>2</v>
          </cell>
          <cell r="M1731">
            <v>10</v>
          </cell>
        </row>
        <row r="1732">
          <cell r="A1732">
            <v>3</v>
          </cell>
          <cell r="B1732">
            <v>2002</v>
          </cell>
          <cell r="C1732">
            <v>1</v>
          </cell>
          <cell r="D1732" t="str">
            <v>Service-Devt</v>
          </cell>
          <cell r="E1732" t="str">
            <v>Oil</v>
          </cell>
          <cell r="F1732" t="str">
            <v>Conventional</v>
          </cell>
          <cell r="G1732">
            <v>0</v>
          </cell>
          <cell r="H1732" t="str">
            <v>Service/Storage</v>
          </cell>
          <cell r="I1732" t="str">
            <v>Oil;Conventional;0;3</v>
          </cell>
          <cell r="J1732" t="str">
            <v>AB</v>
          </cell>
          <cell r="K1732" t="str">
            <v>MEDIUM</v>
          </cell>
          <cell r="L1732">
            <v>10</v>
          </cell>
          <cell r="M1732">
            <v>76.5</v>
          </cell>
        </row>
        <row r="1733">
          <cell r="A1733">
            <v>3</v>
          </cell>
          <cell r="B1733">
            <v>2002</v>
          </cell>
          <cell r="C1733">
            <v>1</v>
          </cell>
          <cell r="D1733" t="str">
            <v>Service-Devt</v>
          </cell>
          <cell r="E1733" t="str">
            <v>Oil</v>
          </cell>
          <cell r="F1733" t="str">
            <v>Conventional</v>
          </cell>
          <cell r="G1733">
            <v>0</v>
          </cell>
          <cell r="H1733" t="str">
            <v>Service/Storage</v>
          </cell>
          <cell r="I1733" t="str">
            <v>Oil;Conventional;0;3</v>
          </cell>
          <cell r="J1733" t="str">
            <v>AB</v>
          </cell>
          <cell r="K1733" t="str">
            <v>Shallow</v>
          </cell>
          <cell r="L1733">
            <v>3</v>
          </cell>
          <cell r="M1733">
            <v>10</v>
          </cell>
        </row>
        <row r="1734">
          <cell r="A1734">
            <v>3</v>
          </cell>
          <cell r="B1734">
            <v>2003</v>
          </cell>
          <cell r="C1734">
            <v>1</v>
          </cell>
          <cell r="D1734" t="str">
            <v>Service-Devt</v>
          </cell>
          <cell r="E1734" t="str">
            <v>Oil</v>
          </cell>
          <cell r="F1734" t="str">
            <v>Conventional</v>
          </cell>
          <cell r="G1734">
            <v>0</v>
          </cell>
          <cell r="H1734" t="str">
            <v>Service/Storage</v>
          </cell>
          <cell r="I1734" t="str">
            <v>Oil;Conventional;0;3</v>
          </cell>
          <cell r="J1734" t="str">
            <v>AB</v>
          </cell>
          <cell r="K1734" t="str">
            <v>MEDIUM</v>
          </cell>
          <cell r="L1734">
            <v>12</v>
          </cell>
          <cell r="M1734">
            <v>67</v>
          </cell>
        </row>
        <row r="1735">
          <cell r="A1735">
            <v>3</v>
          </cell>
          <cell r="B1735">
            <v>2003</v>
          </cell>
          <cell r="C1735">
            <v>1</v>
          </cell>
          <cell r="D1735" t="str">
            <v>Service-Devt</v>
          </cell>
          <cell r="E1735" t="str">
            <v>Oil</v>
          </cell>
          <cell r="F1735" t="str">
            <v>Conventional</v>
          </cell>
          <cell r="G1735">
            <v>0</v>
          </cell>
          <cell r="H1735" t="str">
            <v>Service/Storage</v>
          </cell>
          <cell r="I1735" t="str">
            <v>Oil;Conventional;0;3</v>
          </cell>
          <cell r="J1735" t="str">
            <v>AB</v>
          </cell>
          <cell r="K1735" t="str">
            <v>Shallow</v>
          </cell>
          <cell r="L1735">
            <v>5</v>
          </cell>
          <cell r="M1735">
            <v>30</v>
          </cell>
        </row>
        <row r="1736">
          <cell r="A1736">
            <v>3</v>
          </cell>
          <cell r="B1736">
            <v>2003</v>
          </cell>
          <cell r="C1736">
            <v>2</v>
          </cell>
          <cell r="D1736" t="str">
            <v>Service-Devt</v>
          </cell>
          <cell r="E1736" t="str">
            <v>Oil</v>
          </cell>
          <cell r="F1736" t="str">
            <v>Conventional</v>
          </cell>
          <cell r="G1736">
            <v>0</v>
          </cell>
          <cell r="H1736" t="str">
            <v>Service/Storage</v>
          </cell>
          <cell r="I1736" t="str">
            <v>Oil;Conventional;0;3</v>
          </cell>
          <cell r="J1736" t="str">
            <v>AB</v>
          </cell>
          <cell r="K1736" t="str">
            <v>Shallow</v>
          </cell>
          <cell r="L1736">
            <v>3</v>
          </cell>
          <cell r="M1736">
            <v>16</v>
          </cell>
        </row>
        <row r="1737">
          <cell r="A1737">
            <v>3</v>
          </cell>
          <cell r="B1737">
            <v>2004</v>
          </cell>
          <cell r="C1737">
            <v>1</v>
          </cell>
          <cell r="D1737" t="str">
            <v>Service-Devt</v>
          </cell>
          <cell r="E1737" t="str">
            <v>Oil</v>
          </cell>
          <cell r="F1737" t="str">
            <v>Conventional</v>
          </cell>
          <cell r="G1737">
            <v>0</v>
          </cell>
          <cell r="H1737" t="str">
            <v>Service/Storage</v>
          </cell>
          <cell r="I1737" t="str">
            <v>Oil;Conventional;0;3</v>
          </cell>
          <cell r="J1737" t="str">
            <v>AB</v>
          </cell>
          <cell r="K1737" t="str">
            <v>Medium</v>
          </cell>
          <cell r="L1737">
            <v>9</v>
          </cell>
          <cell r="M1737">
            <v>66</v>
          </cell>
        </row>
        <row r="1738">
          <cell r="A1738">
            <v>3</v>
          </cell>
          <cell r="B1738">
            <v>2004</v>
          </cell>
          <cell r="C1738">
            <v>1</v>
          </cell>
          <cell r="D1738" t="str">
            <v>Service-Devt</v>
          </cell>
          <cell r="E1738" t="str">
            <v>Oil</v>
          </cell>
          <cell r="F1738" t="str">
            <v>Conventional</v>
          </cell>
          <cell r="G1738">
            <v>0</v>
          </cell>
          <cell r="H1738" t="str">
            <v>Service/Storage</v>
          </cell>
          <cell r="I1738" t="str">
            <v>Oil;Conventional;0;3</v>
          </cell>
          <cell r="J1738" t="str">
            <v>AB</v>
          </cell>
          <cell r="K1738" t="str">
            <v>Shallow</v>
          </cell>
          <cell r="L1738">
            <v>3</v>
          </cell>
          <cell r="M1738">
            <v>14</v>
          </cell>
        </row>
        <row r="1739">
          <cell r="A1739">
            <v>3</v>
          </cell>
          <cell r="B1739">
            <v>2005</v>
          </cell>
          <cell r="C1739">
            <v>1</v>
          </cell>
          <cell r="D1739" t="str">
            <v>Service-Devt</v>
          </cell>
          <cell r="E1739" t="str">
            <v>Oil</v>
          </cell>
          <cell r="F1739" t="str">
            <v>Conventional</v>
          </cell>
          <cell r="G1739">
            <v>0</v>
          </cell>
          <cell r="H1739" t="str">
            <v>Service/Storage</v>
          </cell>
          <cell r="I1739" t="str">
            <v>Oil;Conventional;0;3</v>
          </cell>
          <cell r="J1739" t="str">
            <v>AB</v>
          </cell>
          <cell r="K1739" t="str">
            <v>Medium</v>
          </cell>
          <cell r="L1739">
            <v>11</v>
          </cell>
          <cell r="M1739">
            <v>65</v>
          </cell>
        </row>
        <row r="1740">
          <cell r="A1740">
            <v>3</v>
          </cell>
          <cell r="B1740">
            <v>2005</v>
          </cell>
          <cell r="C1740">
            <v>1</v>
          </cell>
          <cell r="D1740" t="str">
            <v>Service-Devt</v>
          </cell>
          <cell r="E1740" t="str">
            <v>Oil</v>
          </cell>
          <cell r="F1740" t="str">
            <v>Conventional</v>
          </cell>
          <cell r="G1740">
            <v>0</v>
          </cell>
          <cell r="H1740" t="str">
            <v>Service/Storage</v>
          </cell>
          <cell r="I1740" t="str">
            <v>Oil;Conventional;0;3</v>
          </cell>
          <cell r="J1740" t="str">
            <v>AB</v>
          </cell>
          <cell r="K1740" t="str">
            <v>Shallow</v>
          </cell>
          <cell r="L1740">
            <v>2</v>
          </cell>
          <cell r="M1740">
            <v>4.6317461</v>
          </cell>
        </row>
        <row r="1741">
          <cell r="A1741">
            <v>3</v>
          </cell>
          <cell r="B1741">
            <v>2005</v>
          </cell>
          <cell r="C1741">
            <v>2</v>
          </cell>
          <cell r="D1741" t="str">
            <v>Service-Devt</v>
          </cell>
          <cell r="E1741" t="str">
            <v>Oil</v>
          </cell>
          <cell r="F1741" t="str">
            <v>Conventional</v>
          </cell>
          <cell r="G1741">
            <v>0</v>
          </cell>
          <cell r="H1741" t="str">
            <v>Service/Storage</v>
          </cell>
          <cell r="I1741" t="str">
            <v>Oil;Conventional;0;3</v>
          </cell>
          <cell r="J1741" t="str">
            <v>AB</v>
          </cell>
          <cell r="K1741" t="str">
            <v>Medium</v>
          </cell>
          <cell r="L1741">
            <v>1</v>
          </cell>
          <cell r="M1741">
            <v>2</v>
          </cell>
        </row>
        <row r="1742">
          <cell r="A1742">
            <v>3</v>
          </cell>
          <cell r="B1742">
            <v>2006</v>
          </cell>
          <cell r="C1742">
            <v>1</v>
          </cell>
          <cell r="D1742" t="str">
            <v>Service-Devt</v>
          </cell>
          <cell r="E1742" t="str">
            <v>Oil</v>
          </cell>
          <cell r="F1742" t="str">
            <v>Conventional</v>
          </cell>
          <cell r="G1742">
            <v>0</v>
          </cell>
          <cell r="H1742" t="str">
            <v>Service/Storage</v>
          </cell>
          <cell r="I1742" t="str">
            <v>Oil;Conventional;0;3</v>
          </cell>
          <cell r="J1742" t="str">
            <v>AB</v>
          </cell>
          <cell r="K1742" t="str">
            <v>Medium</v>
          </cell>
          <cell r="L1742">
            <v>2</v>
          </cell>
          <cell r="M1742">
            <v>13</v>
          </cell>
        </row>
        <row r="1743">
          <cell r="A1743">
            <v>3</v>
          </cell>
          <cell r="B1743">
            <v>2006</v>
          </cell>
          <cell r="C1743">
            <v>1</v>
          </cell>
          <cell r="D1743" t="str">
            <v>Service-Devt</v>
          </cell>
          <cell r="E1743" t="str">
            <v>Oil</v>
          </cell>
          <cell r="F1743" t="str">
            <v>Conventional</v>
          </cell>
          <cell r="G1743">
            <v>0</v>
          </cell>
          <cell r="H1743" t="str">
            <v>Service/Storage</v>
          </cell>
          <cell r="I1743" t="str">
            <v>Oil;Conventional;0;3</v>
          </cell>
          <cell r="J1743" t="str">
            <v>AB</v>
          </cell>
          <cell r="K1743" t="str">
            <v>Shallow</v>
          </cell>
          <cell r="L1743">
            <v>4</v>
          </cell>
          <cell r="M1743">
            <v>12</v>
          </cell>
        </row>
        <row r="1744">
          <cell r="A1744">
            <v>4</v>
          </cell>
          <cell r="B1744">
            <v>2000</v>
          </cell>
          <cell r="C1744">
            <v>1</v>
          </cell>
          <cell r="D1744" t="str">
            <v>Service-Devt</v>
          </cell>
          <cell r="E1744" t="str">
            <v>Oil</v>
          </cell>
          <cell r="F1744" t="str">
            <v>Conventional</v>
          </cell>
          <cell r="G1744">
            <v>0</v>
          </cell>
          <cell r="H1744" t="str">
            <v>Service/Storage</v>
          </cell>
          <cell r="I1744" t="str">
            <v>Oil;Conventional;0;4</v>
          </cell>
          <cell r="J1744" t="str">
            <v>AB</v>
          </cell>
          <cell r="K1744" t="str">
            <v>Medium</v>
          </cell>
          <cell r="L1744">
            <v>23</v>
          </cell>
          <cell r="M1744">
            <v>57.733541500000001</v>
          </cell>
        </row>
        <row r="1745">
          <cell r="A1745">
            <v>4</v>
          </cell>
          <cell r="B1745">
            <v>2000</v>
          </cell>
          <cell r="C1745">
            <v>1</v>
          </cell>
          <cell r="D1745" t="str">
            <v>Service-Devt</v>
          </cell>
          <cell r="E1745" t="str">
            <v>Oil</v>
          </cell>
          <cell r="F1745" t="str">
            <v>Conventional</v>
          </cell>
          <cell r="G1745">
            <v>0</v>
          </cell>
          <cell r="H1745" t="str">
            <v>Service/Storage</v>
          </cell>
          <cell r="I1745" t="str">
            <v>Oil;Conventional;0;4</v>
          </cell>
          <cell r="J1745" t="str">
            <v>AB</v>
          </cell>
          <cell r="K1745" t="str">
            <v>Shallow</v>
          </cell>
          <cell r="L1745">
            <v>24</v>
          </cell>
          <cell r="M1745">
            <v>98</v>
          </cell>
        </row>
        <row r="1746">
          <cell r="A1746">
            <v>4</v>
          </cell>
          <cell r="B1746">
            <v>2001</v>
          </cell>
          <cell r="C1746">
            <v>1</v>
          </cell>
          <cell r="D1746" t="str">
            <v>Service-Devt</v>
          </cell>
          <cell r="E1746" t="str">
            <v>Oil</v>
          </cell>
          <cell r="F1746" t="str">
            <v>Conventional</v>
          </cell>
          <cell r="G1746">
            <v>0</v>
          </cell>
          <cell r="H1746" t="str">
            <v>Service/Storage</v>
          </cell>
          <cell r="I1746" t="str">
            <v>Oil;Conventional;0;4</v>
          </cell>
          <cell r="J1746" t="str">
            <v>AB</v>
          </cell>
          <cell r="K1746" t="str">
            <v>Medium</v>
          </cell>
          <cell r="L1746">
            <v>17</v>
          </cell>
          <cell r="M1746">
            <v>84.206713999999991</v>
          </cell>
        </row>
        <row r="1747">
          <cell r="A1747">
            <v>4</v>
          </cell>
          <cell r="B1747">
            <v>2001</v>
          </cell>
          <cell r="C1747">
            <v>1</v>
          </cell>
          <cell r="D1747" t="str">
            <v>Service-Devt</v>
          </cell>
          <cell r="E1747" t="str">
            <v>Oil</v>
          </cell>
          <cell r="F1747" t="str">
            <v>Conventional</v>
          </cell>
          <cell r="G1747">
            <v>0</v>
          </cell>
          <cell r="H1747" t="str">
            <v>Service/Storage</v>
          </cell>
          <cell r="I1747" t="str">
            <v>Oil;Conventional;0;4</v>
          </cell>
          <cell r="J1747" t="str">
            <v>AB</v>
          </cell>
          <cell r="K1747" t="str">
            <v>Shallow</v>
          </cell>
          <cell r="L1747">
            <v>11</v>
          </cell>
          <cell r="M1747">
            <v>33.030952999999997</v>
          </cell>
        </row>
        <row r="1748">
          <cell r="A1748">
            <v>4</v>
          </cell>
          <cell r="B1748">
            <v>2001</v>
          </cell>
          <cell r="C1748">
            <v>2</v>
          </cell>
          <cell r="D1748" t="str">
            <v>Service-Devt</v>
          </cell>
          <cell r="E1748" t="str">
            <v>Oil</v>
          </cell>
          <cell r="F1748" t="str">
            <v>Conventional</v>
          </cell>
          <cell r="G1748">
            <v>0</v>
          </cell>
          <cell r="H1748" t="str">
            <v>Service/Storage</v>
          </cell>
          <cell r="I1748" t="str">
            <v>Oil;Conventional;0;4</v>
          </cell>
          <cell r="J1748" t="str">
            <v>AB</v>
          </cell>
          <cell r="K1748" t="str">
            <v>Medium</v>
          </cell>
          <cell r="L1748">
            <v>1</v>
          </cell>
          <cell r="M1748">
            <v>3</v>
          </cell>
        </row>
        <row r="1749">
          <cell r="A1749">
            <v>4</v>
          </cell>
          <cell r="B1749">
            <v>2002</v>
          </cell>
          <cell r="C1749">
            <v>1</v>
          </cell>
          <cell r="D1749" t="str">
            <v>Service-Devt</v>
          </cell>
          <cell r="E1749" t="str">
            <v>Oil</v>
          </cell>
          <cell r="F1749" t="str">
            <v>Conventional</v>
          </cell>
          <cell r="G1749">
            <v>0</v>
          </cell>
          <cell r="H1749" t="str">
            <v>Service/Storage</v>
          </cell>
          <cell r="I1749" t="str">
            <v>Oil;Conventional;0;4</v>
          </cell>
          <cell r="J1749" t="str">
            <v>AB</v>
          </cell>
          <cell r="K1749" t="str">
            <v>Medium</v>
          </cell>
          <cell r="L1749">
            <v>8</v>
          </cell>
          <cell r="M1749">
            <v>29.333333</v>
          </cell>
        </row>
        <row r="1750">
          <cell r="A1750">
            <v>4</v>
          </cell>
          <cell r="B1750">
            <v>2002</v>
          </cell>
          <cell r="C1750">
            <v>1</v>
          </cell>
          <cell r="D1750" t="str">
            <v>Service-Devt</v>
          </cell>
          <cell r="E1750" t="str">
            <v>Oil</v>
          </cell>
          <cell r="F1750" t="str">
            <v>Conventional</v>
          </cell>
          <cell r="G1750">
            <v>0</v>
          </cell>
          <cell r="H1750" t="str">
            <v>Service/Storage</v>
          </cell>
          <cell r="I1750" t="str">
            <v>Oil;Conventional;0;4</v>
          </cell>
          <cell r="J1750" t="str">
            <v>AB</v>
          </cell>
          <cell r="K1750" t="str">
            <v>Shallow</v>
          </cell>
          <cell r="L1750">
            <v>16</v>
          </cell>
          <cell r="M1750">
            <v>54</v>
          </cell>
        </row>
        <row r="1751">
          <cell r="A1751">
            <v>4</v>
          </cell>
          <cell r="B1751">
            <v>2003</v>
          </cell>
          <cell r="C1751">
            <v>1</v>
          </cell>
          <cell r="D1751" t="str">
            <v>Service-Devt</v>
          </cell>
          <cell r="E1751" t="str">
            <v>Oil</v>
          </cell>
          <cell r="F1751" t="str">
            <v>Conventional</v>
          </cell>
          <cell r="G1751">
            <v>0</v>
          </cell>
          <cell r="H1751" t="str">
            <v>Service/Storage</v>
          </cell>
          <cell r="I1751" t="str">
            <v>Oil;Conventional;0;4</v>
          </cell>
          <cell r="J1751" t="str">
            <v>AB</v>
          </cell>
          <cell r="K1751" t="str">
            <v>Medium</v>
          </cell>
          <cell r="L1751">
            <v>23</v>
          </cell>
          <cell r="M1751">
            <v>100.958961</v>
          </cell>
        </row>
        <row r="1752">
          <cell r="A1752">
            <v>4</v>
          </cell>
          <cell r="B1752">
            <v>2003</v>
          </cell>
          <cell r="C1752">
            <v>1</v>
          </cell>
          <cell r="D1752" t="str">
            <v>Service-Devt</v>
          </cell>
          <cell r="E1752" t="str">
            <v>Oil</v>
          </cell>
          <cell r="F1752" t="str">
            <v>Conventional</v>
          </cell>
          <cell r="G1752">
            <v>0</v>
          </cell>
          <cell r="H1752" t="str">
            <v>Service/Storage</v>
          </cell>
          <cell r="I1752" t="str">
            <v>Oil;Conventional;0;4</v>
          </cell>
          <cell r="J1752" t="str">
            <v>AB</v>
          </cell>
          <cell r="K1752" t="str">
            <v>Shallow</v>
          </cell>
          <cell r="L1752">
            <v>14</v>
          </cell>
          <cell r="M1752">
            <v>49</v>
          </cell>
        </row>
        <row r="1753">
          <cell r="A1753">
            <v>4</v>
          </cell>
          <cell r="B1753">
            <v>2004</v>
          </cell>
          <cell r="C1753">
            <v>1</v>
          </cell>
          <cell r="D1753" t="str">
            <v>Service-Devt</v>
          </cell>
          <cell r="E1753" t="str">
            <v>Oil</v>
          </cell>
          <cell r="F1753" t="str">
            <v>Conventional</v>
          </cell>
          <cell r="G1753">
            <v>0</v>
          </cell>
          <cell r="H1753" t="str">
            <v>Service/Storage</v>
          </cell>
          <cell r="I1753" t="str">
            <v>Oil;Conventional;0;4</v>
          </cell>
          <cell r="J1753" t="str">
            <v>AB</v>
          </cell>
          <cell r="K1753" t="str">
            <v>Medium</v>
          </cell>
          <cell r="L1753">
            <v>20</v>
          </cell>
          <cell r="M1753">
            <v>60.5</v>
          </cell>
        </row>
        <row r="1754">
          <cell r="A1754">
            <v>4</v>
          </cell>
          <cell r="B1754">
            <v>2004</v>
          </cell>
          <cell r="C1754">
            <v>1</v>
          </cell>
          <cell r="D1754" t="str">
            <v>Service-Devt</v>
          </cell>
          <cell r="E1754" t="str">
            <v>Oil</v>
          </cell>
          <cell r="F1754" t="str">
            <v>Conventional</v>
          </cell>
          <cell r="G1754">
            <v>0</v>
          </cell>
          <cell r="H1754" t="str">
            <v>Service/Storage</v>
          </cell>
          <cell r="I1754" t="str">
            <v>Oil;Conventional;0;4</v>
          </cell>
          <cell r="J1754" t="str">
            <v>AB</v>
          </cell>
          <cell r="K1754" t="str">
            <v>Shallow</v>
          </cell>
          <cell r="L1754">
            <v>15</v>
          </cell>
          <cell r="M1754">
            <v>44.0833333</v>
          </cell>
        </row>
        <row r="1755">
          <cell r="A1755">
            <v>4</v>
          </cell>
          <cell r="B1755">
            <v>2005</v>
          </cell>
          <cell r="C1755">
            <v>1</v>
          </cell>
          <cell r="D1755" t="str">
            <v>Service-Devt</v>
          </cell>
          <cell r="E1755" t="str">
            <v>Oil</v>
          </cell>
          <cell r="F1755" t="str">
            <v>Conventional</v>
          </cell>
          <cell r="G1755">
            <v>0</v>
          </cell>
          <cell r="H1755" t="str">
            <v>Service/Storage</v>
          </cell>
          <cell r="I1755" t="str">
            <v>Oil;Conventional;0;4</v>
          </cell>
          <cell r="J1755" t="str">
            <v>AB</v>
          </cell>
          <cell r="K1755" t="str">
            <v>Medium</v>
          </cell>
          <cell r="L1755">
            <v>1</v>
          </cell>
          <cell r="M1755">
            <v>3</v>
          </cell>
        </row>
        <row r="1756">
          <cell r="A1756">
            <v>4</v>
          </cell>
          <cell r="B1756">
            <v>2005</v>
          </cell>
          <cell r="C1756">
            <v>1</v>
          </cell>
          <cell r="D1756" t="str">
            <v>Service-Devt</v>
          </cell>
          <cell r="E1756" t="str">
            <v>Oil</v>
          </cell>
          <cell r="F1756" t="str">
            <v>Conventional</v>
          </cell>
          <cell r="G1756">
            <v>0</v>
          </cell>
          <cell r="H1756" t="str">
            <v>Service/Storage</v>
          </cell>
          <cell r="I1756" t="str">
            <v>Oil;Conventional;0;4</v>
          </cell>
          <cell r="J1756" t="str">
            <v>AB</v>
          </cell>
          <cell r="K1756" t="str">
            <v>Shallow</v>
          </cell>
          <cell r="L1756">
            <v>16</v>
          </cell>
          <cell r="M1756">
            <v>73</v>
          </cell>
        </row>
        <row r="1757">
          <cell r="A1757">
            <v>4</v>
          </cell>
          <cell r="B1757">
            <v>2005</v>
          </cell>
          <cell r="C1757">
            <v>2</v>
          </cell>
          <cell r="D1757" t="str">
            <v>Service-Devt</v>
          </cell>
          <cell r="E1757" t="str">
            <v>Oil</v>
          </cell>
          <cell r="F1757" t="str">
            <v>Conventional</v>
          </cell>
          <cell r="G1757">
            <v>0</v>
          </cell>
          <cell r="H1757" t="str">
            <v>Service/Storage</v>
          </cell>
          <cell r="I1757" t="str">
            <v>Oil;Conventional;0;4</v>
          </cell>
          <cell r="J1757" t="str">
            <v>AB</v>
          </cell>
          <cell r="K1757" t="str">
            <v>Shallow</v>
          </cell>
          <cell r="L1757">
            <v>2</v>
          </cell>
          <cell r="M1757">
            <v>7</v>
          </cell>
        </row>
        <row r="1758">
          <cell r="A1758">
            <v>4</v>
          </cell>
          <cell r="B1758">
            <v>2006</v>
          </cell>
          <cell r="C1758">
            <v>1</v>
          </cell>
          <cell r="D1758" t="str">
            <v>Service-Devt</v>
          </cell>
          <cell r="E1758" t="str">
            <v>Oil</v>
          </cell>
          <cell r="F1758" t="str">
            <v>Conventional</v>
          </cell>
          <cell r="G1758">
            <v>0</v>
          </cell>
          <cell r="H1758" t="str">
            <v>Service/Storage</v>
          </cell>
          <cell r="I1758" t="str">
            <v>Oil;Conventional;0;4</v>
          </cell>
          <cell r="J1758" t="str">
            <v>AB</v>
          </cell>
          <cell r="K1758" t="str">
            <v>Medium</v>
          </cell>
          <cell r="L1758">
            <v>3</v>
          </cell>
          <cell r="M1758">
            <v>6</v>
          </cell>
        </row>
        <row r="1759">
          <cell r="A1759">
            <v>4</v>
          </cell>
          <cell r="B1759">
            <v>2006</v>
          </cell>
          <cell r="C1759">
            <v>1</v>
          </cell>
          <cell r="D1759" t="str">
            <v>Service-Devt</v>
          </cell>
          <cell r="E1759" t="str">
            <v>Oil</v>
          </cell>
          <cell r="F1759" t="str">
            <v>Conventional</v>
          </cell>
          <cell r="G1759">
            <v>0</v>
          </cell>
          <cell r="H1759" t="str">
            <v>Service/Storage</v>
          </cell>
          <cell r="I1759" t="str">
            <v>Oil;Conventional;0;4</v>
          </cell>
          <cell r="J1759" t="str">
            <v>AB</v>
          </cell>
          <cell r="K1759" t="str">
            <v>Shallow</v>
          </cell>
          <cell r="L1759">
            <v>1</v>
          </cell>
          <cell r="M1759">
            <v>4</v>
          </cell>
        </row>
        <row r="1760">
          <cell r="A1760">
            <v>5</v>
          </cell>
          <cell r="B1760">
            <v>2000</v>
          </cell>
          <cell r="C1760">
            <v>1</v>
          </cell>
          <cell r="D1760" t="str">
            <v>Service-Devt</v>
          </cell>
          <cell r="E1760" t="str">
            <v>Oil</v>
          </cell>
          <cell r="F1760" t="str">
            <v>Conventional</v>
          </cell>
          <cell r="G1760">
            <v>0</v>
          </cell>
          <cell r="H1760" t="str">
            <v>Service/Storage</v>
          </cell>
          <cell r="I1760" t="str">
            <v>Oil;Conventional;0;5</v>
          </cell>
          <cell r="J1760" t="str">
            <v>AB</v>
          </cell>
          <cell r="K1760" t="str">
            <v>DEEP</v>
          </cell>
          <cell r="L1760">
            <v>7</v>
          </cell>
          <cell r="M1760">
            <v>201</v>
          </cell>
        </row>
        <row r="1761">
          <cell r="A1761">
            <v>5</v>
          </cell>
          <cell r="B1761">
            <v>2000</v>
          </cell>
          <cell r="C1761">
            <v>1</v>
          </cell>
          <cell r="D1761" t="str">
            <v>Service-Devt</v>
          </cell>
          <cell r="E1761" t="str">
            <v>Oil</v>
          </cell>
          <cell r="F1761" t="str">
            <v>Conventional</v>
          </cell>
          <cell r="G1761">
            <v>0</v>
          </cell>
          <cell r="H1761" t="str">
            <v>Service/Storage</v>
          </cell>
          <cell r="I1761" t="str">
            <v>Oil;Conventional;0;5</v>
          </cell>
          <cell r="J1761" t="str">
            <v>AB</v>
          </cell>
          <cell r="K1761" t="str">
            <v>Medium</v>
          </cell>
          <cell r="L1761">
            <v>6</v>
          </cell>
          <cell r="M1761">
            <v>60</v>
          </cell>
        </row>
        <row r="1762">
          <cell r="A1762">
            <v>5</v>
          </cell>
          <cell r="B1762">
            <v>2000</v>
          </cell>
          <cell r="C1762">
            <v>2</v>
          </cell>
          <cell r="D1762" t="str">
            <v>Service-Devt</v>
          </cell>
          <cell r="E1762" t="str">
            <v>Oil</v>
          </cell>
          <cell r="F1762" t="str">
            <v>Conventional</v>
          </cell>
          <cell r="G1762">
            <v>0</v>
          </cell>
          <cell r="H1762" t="str">
            <v>Service/Storage</v>
          </cell>
          <cell r="I1762" t="str">
            <v>Oil;Conventional;0;5</v>
          </cell>
          <cell r="J1762" t="str">
            <v>AB</v>
          </cell>
          <cell r="K1762" t="str">
            <v>Deep</v>
          </cell>
          <cell r="L1762">
            <v>4</v>
          </cell>
          <cell r="M1762">
            <v>71</v>
          </cell>
        </row>
        <row r="1763">
          <cell r="A1763">
            <v>5</v>
          </cell>
          <cell r="B1763">
            <v>2000</v>
          </cell>
          <cell r="C1763">
            <v>3</v>
          </cell>
          <cell r="D1763" t="str">
            <v>Service-Devt</v>
          </cell>
          <cell r="E1763" t="str">
            <v>Oil</v>
          </cell>
          <cell r="F1763" t="str">
            <v>Conventional</v>
          </cell>
          <cell r="G1763">
            <v>0</v>
          </cell>
          <cell r="H1763" t="str">
            <v>Service/Storage</v>
          </cell>
          <cell r="I1763" t="str">
            <v>Oil;Conventional;0;5</v>
          </cell>
          <cell r="J1763" t="str">
            <v>AB</v>
          </cell>
          <cell r="K1763" t="str">
            <v>Deep</v>
          </cell>
          <cell r="L1763">
            <v>1</v>
          </cell>
          <cell r="M1763">
            <v>16</v>
          </cell>
        </row>
        <row r="1764">
          <cell r="A1764">
            <v>5</v>
          </cell>
          <cell r="B1764">
            <v>2001</v>
          </cell>
          <cell r="C1764">
            <v>1</v>
          </cell>
          <cell r="D1764" t="str">
            <v>Service-Devt</v>
          </cell>
          <cell r="E1764" t="str">
            <v>Oil</v>
          </cell>
          <cell r="F1764" t="str">
            <v>Conventional</v>
          </cell>
          <cell r="G1764">
            <v>0</v>
          </cell>
          <cell r="H1764" t="str">
            <v>Service/Storage</v>
          </cell>
          <cell r="I1764" t="str">
            <v>Oil;Conventional;0;5</v>
          </cell>
          <cell r="J1764" t="str">
            <v>AB</v>
          </cell>
          <cell r="K1764" t="str">
            <v>DEEP</v>
          </cell>
          <cell r="L1764">
            <v>5</v>
          </cell>
          <cell r="M1764">
            <v>121</v>
          </cell>
        </row>
        <row r="1765">
          <cell r="A1765">
            <v>5</v>
          </cell>
          <cell r="B1765">
            <v>2001</v>
          </cell>
          <cell r="C1765">
            <v>1</v>
          </cell>
          <cell r="D1765" t="str">
            <v>Service-Devt</v>
          </cell>
          <cell r="E1765" t="str">
            <v>Oil</v>
          </cell>
          <cell r="F1765" t="str">
            <v>Conventional</v>
          </cell>
          <cell r="G1765">
            <v>0</v>
          </cell>
          <cell r="H1765" t="str">
            <v>Service/Storage</v>
          </cell>
          <cell r="I1765" t="str">
            <v>Oil;Conventional;0;5</v>
          </cell>
          <cell r="J1765" t="str">
            <v>AB</v>
          </cell>
          <cell r="K1765" t="str">
            <v>Shallow</v>
          </cell>
          <cell r="L1765">
            <v>2</v>
          </cell>
          <cell r="M1765">
            <v>9</v>
          </cell>
        </row>
        <row r="1766">
          <cell r="A1766">
            <v>5</v>
          </cell>
          <cell r="B1766">
            <v>2001</v>
          </cell>
          <cell r="C1766">
            <v>2</v>
          </cell>
          <cell r="D1766" t="str">
            <v>Service-Devt</v>
          </cell>
          <cell r="E1766" t="str">
            <v>Oil</v>
          </cell>
          <cell r="F1766" t="str">
            <v>Conventional</v>
          </cell>
          <cell r="G1766">
            <v>0</v>
          </cell>
          <cell r="H1766" t="str">
            <v>Service/Storage</v>
          </cell>
          <cell r="I1766" t="str">
            <v>Oil;Conventional;0;5</v>
          </cell>
          <cell r="J1766" t="str">
            <v>AB</v>
          </cell>
          <cell r="K1766" t="str">
            <v>Deep</v>
          </cell>
          <cell r="L1766">
            <v>1</v>
          </cell>
          <cell r="M1766">
            <v>6</v>
          </cell>
        </row>
        <row r="1767">
          <cell r="A1767">
            <v>5</v>
          </cell>
          <cell r="B1767">
            <v>2001</v>
          </cell>
          <cell r="C1767">
            <v>2</v>
          </cell>
          <cell r="D1767" t="str">
            <v>Service-Devt</v>
          </cell>
          <cell r="E1767" t="str">
            <v>Oil</v>
          </cell>
          <cell r="F1767" t="str">
            <v>Conventional</v>
          </cell>
          <cell r="G1767">
            <v>0</v>
          </cell>
          <cell r="H1767" t="str">
            <v>Service/Storage</v>
          </cell>
          <cell r="I1767" t="str">
            <v>Oil;Conventional;0;5</v>
          </cell>
          <cell r="J1767" t="str">
            <v>AB</v>
          </cell>
          <cell r="K1767" t="str">
            <v>Medium</v>
          </cell>
          <cell r="L1767">
            <v>2</v>
          </cell>
          <cell r="M1767">
            <v>18.5</v>
          </cell>
        </row>
        <row r="1768">
          <cell r="A1768">
            <v>5</v>
          </cell>
          <cell r="B1768">
            <v>2002</v>
          </cell>
          <cell r="C1768">
            <v>1</v>
          </cell>
          <cell r="D1768" t="str">
            <v>Service-Devt</v>
          </cell>
          <cell r="E1768" t="str">
            <v>Oil</v>
          </cell>
          <cell r="F1768" t="str">
            <v>Conventional</v>
          </cell>
          <cell r="G1768">
            <v>0</v>
          </cell>
          <cell r="H1768" t="str">
            <v>Service/Storage</v>
          </cell>
          <cell r="I1768" t="str">
            <v>Oil;Conventional;0;5</v>
          </cell>
          <cell r="J1768" t="str">
            <v>AB</v>
          </cell>
          <cell r="K1768" t="str">
            <v>Medium</v>
          </cell>
          <cell r="L1768">
            <v>5</v>
          </cell>
          <cell r="M1768">
            <v>51</v>
          </cell>
        </row>
        <row r="1769">
          <cell r="A1769">
            <v>5</v>
          </cell>
          <cell r="B1769">
            <v>2002</v>
          </cell>
          <cell r="C1769">
            <v>2</v>
          </cell>
          <cell r="D1769" t="str">
            <v>Service-Devt</v>
          </cell>
          <cell r="E1769" t="str">
            <v>Oil</v>
          </cell>
          <cell r="F1769" t="str">
            <v>Conventional</v>
          </cell>
          <cell r="G1769">
            <v>0</v>
          </cell>
          <cell r="H1769" t="str">
            <v>Service/Storage</v>
          </cell>
          <cell r="I1769" t="str">
            <v>Oil;Conventional;0;5</v>
          </cell>
          <cell r="J1769" t="str">
            <v>AB</v>
          </cell>
          <cell r="K1769" t="str">
            <v>Medium</v>
          </cell>
          <cell r="L1769">
            <v>1</v>
          </cell>
          <cell r="M1769">
            <v>8</v>
          </cell>
        </row>
        <row r="1770">
          <cell r="A1770">
            <v>5</v>
          </cell>
          <cell r="B1770">
            <v>2003</v>
          </cell>
          <cell r="C1770">
            <v>1</v>
          </cell>
          <cell r="D1770" t="str">
            <v>Service-Devt</v>
          </cell>
          <cell r="E1770" t="str">
            <v>Oil</v>
          </cell>
          <cell r="F1770" t="str">
            <v>Conventional</v>
          </cell>
          <cell r="G1770">
            <v>0</v>
          </cell>
          <cell r="H1770" t="str">
            <v>Service/Storage</v>
          </cell>
          <cell r="I1770" t="str">
            <v>Oil;Conventional;0;5</v>
          </cell>
          <cell r="J1770" t="str">
            <v>AB</v>
          </cell>
          <cell r="K1770" t="str">
            <v>Medium</v>
          </cell>
          <cell r="L1770">
            <v>4</v>
          </cell>
          <cell r="M1770">
            <v>34.5</v>
          </cell>
        </row>
        <row r="1771">
          <cell r="A1771">
            <v>5</v>
          </cell>
          <cell r="B1771">
            <v>2003</v>
          </cell>
          <cell r="C1771">
            <v>2</v>
          </cell>
          <cell r="D1771" t="str">
            <v>Service-Devt</v>
          </cell>
          <cell r="E1771" t="str">
            <v>Oil</v>
          </cell>
          <cell r="F1771" t="str">
            <v>Conventional</v>
          </cell>
          <cell r="G1771">
            <v>0</v>
          </cell>
          <cell r="H1771" t="str">
            <v>Service/Storage</v>
          </cell>
          <cell r="I1771" t="str">
            <v>Oil;Conventional;0;5</v>
          </cell>
          <cell r="J1771" t="str">
            <v>AB</v>
          </cell>
          <cell r="K1771" t="str">
            <v>Medium</v>
          </cell>
          <cell r="L1771">
            <v>2</v>
          </cell>
          <cell r="M1771">
            <v>29</v>
          </cell>
        </row>
        <row r="1772">
          <cell r="A1772">
            <v>5</v>
          </cell>
          <cell r="B1772">
            <v>2004</v>
          </cell>
          <cell r="C1772">
            <v>1</v>
          </cell>
          <cell r="D1772" t="str">
            <v>Service-Devt</v>
          </cell>
          <cell r="E1772" t="str">
            <v>Oil</v>
          </cell>
          <cell r="F1772" t="str">
            <v>Conventional</v>
          </cell>
          <cell r="G1772">
            <v>0</v>
          </cell>
          <cell r="H1772" t="str">
            <v>Service/Storage</v>
          </cell>
          <cell r="I1772" t="str">
            <v>Oil;Conventional;0;5</v>
          </cell>
          <cell r="J1772" t="str">
            <v>AB</v>
          </cell>
          <cell r="K1772" t="str">
            <v>Deep</v>
          </cell>
          <cell r="L1772">
            <v>3</v>
          </cell>
          <cell r="M1772">
            <v>80</v>
          </cell>
        </row>
        <row r="1773">
          <cell r="A1773">
            <v>5</v>
          </cell>
          <cell r="B1773">
            <v>2004</v>
          </cell>
          <cell r="C1773">
            <v>1</v>
          </cell>
          <cell r="D1773" t="str">
            <v>Service-Devt</v>
          </cell>
          <cell r="E1773" t="str">
            <v>Oil</v>
          </cell>
          <cell r="F1773" t="str">
            <v>Conventional</v>
          </cell>
          <cell r="G1773">
            <v>0</v>
          </cell>
          <cell r="H1773" t="str">
            <v>Service/Storage</v>
          </cell>
          <cell r="I1773" t="str">
            <v>Oil;Conventional;0;5</v>
          </cell>
          <cell r="J1773" t="str">
            <v>AB</v>
          </cell>
          <cell r="K1773" t="str">
            <v>MEDIUM</v>
          </cell>
          <cell r="L1773">
            <v>1</v>
          </cell>
          <cell r="M1773">
            <v>8</v>
          </cell>
        </row>
        <row r="1774">
          <cell r="A1774">
            <v>5</v>
          </cell>
          <cell r="B1774">
            <v>2004</v>
          </cell>
          <cell r="C1774">
            <v>2</v>
          </cell>
          <cell r="D1774" t="str">
            <v>Service-Devt</v>
          </cell>
          <cell r="E1774" t="str">
            <v>Oil</v>
          </cell>
          <cell r="F1774" t="str">
            <v>Conventional</v>
          </cell>
          <cell r="G1774">
            <v>0</v>
          </cell>
          <cell r="H1774" t="str">
            <v>Service/Storage</v>
          </cell>
          <cell r="I1774" t="str">
            <v>Oil;Conventional;0;5</v>
          </cell>
          <cell r="J1774" t="str">
            <v>AB</v>
          </cell>
          <cell r="K1774" t="str">
            <v>Medium</v>
          </cell>
          <cell r="L1774">
            <v>4</v>
          </cell>
          <cell r="M1774">
            <v>50</v>
          </cell>
        </row>
        <row r="1775">
          <cell r="A1775">
            <v>5</v>
          </cell>
          <cell r="B1775">
            <v>2004</v>
          </cell>
          <cell r="C1775">
            <v>2</v>
          </cell>
          <cell r="D1775" t="str">
            <v>Service-Devt</v>
          </cell>
          <cell r="E1775" t="str">
            <v>Oil</v>
          </cell>
          <cell r="F1775" t="str">
            <v>Conventional</v>
          </cell>
          <cell r="G1775">
            <v>0</v>
          </cell>
          <cell r="H1775" t="str">
            <v>Service/Storage</v>
          </cell>
          <cell r="I1775" t="str">
            <v>Oil;Conventional;0;5</v>
          </cell>
          <cell r="J1775" t="str">
            <v>AB</v>
          </cell>
          <cell r="K1775" t="str">
            <v>Shallow</v>
          </cell>
          <cell r="L1775">
            <v>1</v>
          </cell>
          <cell r="M1775">
            <v>1</v>
          </cell>
        </row>
        <row r="1776">
          <cell r="A1776">
            <v>5</v>
          </cell>
          <cell r="B1776">
            <v>2004</v>
          </cell>
          <cell r="C1776">
            <v>3</v>
          </cell>
          <cell r="D1776" t="str">
            <v>Service-Devt</v>
          </cell>
          <cell r="E1776" t="str">
            <v>Oil</v>
          </cell>
          <cell r="F1776" t="str">
            <v>Conventional</v>
          </cell>
          <cell r="G1776">
            <v>0</v>
          </cell>
          <cell r="H1776" t="str">
            <v>Service/Storage</v>
          </cell>
          <cell r="I1776" t="str">
            <v>Oil;Conventional;0;5</v>
          </cell>
          <cell r="J1776" t="str">
            <v>AB</v>
          </cell>
          <cell r="K1776" t="str">
            <v>Medium</v>
          </cell>
          <cell r="L1776">
            <v>2</v>
          </cell>
          <cell r="M1776">
            <v>47</v>
          </cell>
        </row>
        <row r="1777">
          <cell r="A1777">
            <v>5</v>
          </cell>
          <cell r="B1777">
            <v>2005</v>
          </cell>
          <cell r="C1777">
            <v>1</v>
          </cell>
          <cell r="D1777" t="str">
            <v>Service-Devt</v>
          </cell>
          <cell r="E1777" t="str">
            <v>Oil</v>
          </cell>
          <cell r="F1777" t="str">
            <v>Conventional</v>
          </cell>
          <cell r="G1777">
            <v>0</v>
          </cell>
          <cell r="H1777" t="str">
            <v>Service/Storage</v>
          </cell>
          <cell r="I1777" t="str">
            <v>Oil;Conventional;0;5</v>
          </cell>
          <cell r="J1777" t="str">
            <v>AB</v>
          </cell>
          <cell r="K1777" t="str">
            <v>Deep</v>
          </cell>
          <cell r="L1777">
            <v>1</v>
          </cell>
          <cell r="M1777">
            <v>13</v>
          </cell>
        </row>
        <row r="1778">
          <cell r="A1778">
            <v>5</v>
          </cell>
          <cell r="B1778">
            <v>2005</v>
          </cell>
          <cell r="C1778">
            <v>1</v>
          </cell>
          <cell r="D1778" t="str">
            <v>Service-Devt</v>
          </cell>
          <cell r="E1778" t="str">
            <v>Oil</v>
          </cell>
          <cell r="F1778" t="str">
            <v>Conventional</v>
          </cell>
          <cell r="G1778">
            <v>0</v>
          </cell>
          <cell r="H1778" t="str">
            <v>Service/Storage</v>
          </cell>
          <cell r="I1778" t="str">
            <v>Oil;Conventional;0;5</v>
          </cell>
          <cell r="J1778" t="str">
            <v>AB</v>
          </cell>
          <cell r="K1778" t="str">
            <v>Medium</v>
          </cell>
          <cell r="L1778">
            <v>4</v>
          </cell>
          <cell r="M1778">
            <v>66</v>
          </cell>
        </row>
        <row r="1779">
          <cell r="A1779">
            <v>5</v>
          </cell>
          <cell r="B1779">
            <v>2005</v>
          </cell>
          <cell r="C1779">
            <v>1</v>
          </cell>
          <cell r="D1779" t="str">
            <v>Service-Devt</v>
          </cell>
          <cell r="E1779" t="str">
            <v>Oil</v>
          </cell>
          <cell r="F1779" t="str">
            <v>Conventional</v>
          </cell>
          <cell r="G1779">
            <v>0</v>
          </cell>
          <cell r="H1779" t="str">
            <v>Service/Storage</v>
          </cell>
          <cell r="I1779" t="str">
            <v>Oil;Conventional;0;5</v>
          </cell>
          <cell r="J1779" t="str">
            <v>AB</v>
          </cell>
          <cell r="K1779" t="str">
            <v>Shallow</v>
          </cell>
          <cell r="L1779">
            <v>1</v>
          </cell>
          <cell r="M1779">
            <v>6.5</v>
          </cell>
        </row>
        <row r="1780">
          <cell r="A1780">
            <v>5</v>
          </cell>
          <cell r="B1780">
            <v>2005</v>
          </cell>
          <cell r="C1780">
            <v>2</v>
          </cell>
          <cell r="D1780" t="str">
            <v>Service-Devt</v>
          </cell>
          <cell r="E1780" t="str">
            <v>Oil</v>
          </cell>
          <cell r="F1780" t="str">
            <v>Conventional</v>
          </cell>
          <cell r="G1780">
            <v>0</v>
          </cell>
          <cell r="H1780" t="str">
            <v>Service/Storage</v>
          </cell>
          <cell r="I1780" t="str">
            <v>Oil;Conventional;0;5</v>
          </cell>
          <cell r="J1780" t="str">
            <v>AB</v>
          </cell>
          <cell r="K1780" t="str">
            <v>Medium</v>
          </cell>
          <cell r="L1780">
            <v>1</v>
          </cell>
          <cell r="M1780">
            <v>10</v>
          </cell>
        </row>
        <row r="1781">
          <cell r="A1781">
            <v>5</v>
          </cell>
          <cell r="B1781">
            <v>2006</v>
          </cell>
          <cell r="C1781">
            <v>1</v>
          </cell>
          <cell r="D1781" t="str">
            <v>Service-Devt</v>
          </cell>
          <cell r="E1781" t="str">
            <v>Oil</v>
          </cell>
          <cell r="F1781" t="str">
            <v>Conventional</v>
          </cell>
          <cell r="G1781">
            <v>0</v>
          </cell>
          <cell r="H1781" t="str">
            <v>Service/Storage</v>
          </cell>
          <cell r="I1781" t="str">
            <v>Oil;Conventional;0;5</v>
          </cell>
          <cell r="J1781" t="str">
            <v>AB</v>
          </cell>
          <cell r="K1781" t="str">
            <v>Deep</v>
          </cell>
          <cell r="L1781">
            <v>1</v>
          </cell>
          <cell r="M1781">
            <v>13</v>
          </cell>
        </row>
        <row r="1782">
          <cell r="A1782">
            <v>5</v>
          </cell>
          <cell r="B1782">
            <v>2006</v>
          </cell>
          <cell r="C1782">
            <v>1</v>
          </cell>
          <cell r="D1782" t="str">
            <v>Service-Devt</v>
          </cell>
          <cell r="E1782" t="str">
            <v>Oil</v>
          </cell>
          <cell r="F1782" t="str">
            <v>Conventional</v>
          </cell>
          <cell r="G1782">
            <v>0</v>
          </cell>
          <cell r="H1782" t="str">
            <v>Service/Storage</v>
          </cell>
          <cell r="I1782" t="str">
            <v>Oil;Conventional;0;5</v>
          </cell>
          <cell r="J1782" t="str">
            <v>AB</v>
          </cell>
          <cell r="K1782" t="str">
            <v>Medium</v>
          </cell>
          <cell r="L1782">
            <v>5</v>
          </cell>
          <cell r="M1782">
            <v>40</v>
          </cell>
        </row>
        <row r="1783">
          <cell r="A1783">
            <v>5</v>
          </cell>
          <cell r="B1783">
            <v>2006</v>
          </cell>
          <cell r="C1783">
            <v>2</v>
          </cell>
          <cell r="D1783" t="str">
            <v>Service-Devt</v>
          </cell>
          <cell r="E1783" t="str">
            <v>Oil</v>
          </cell>
          <cell r="F1783" t="str">
            <v>Conventional</v>
          </cell>
          <cell r="G1783">
            <v>0</v>
          </cell>
          <cell r="H1783" t="str">
            <v>Service/Storage</v>
          </cell>
          <cell r="I1783" t="str">
            <v>Oil;Conventional;0;5</v>
          </cell>
          <cell r="J1783" t="str">
            <v>AB</v>
          </cell>
          <cell r="K1783" t="str">
            <v>Medium</v>
          </cell>
          <cell r="L1783">
            <v>1</v>
          </cell>
          <cell r="M1783">
            <v>8</v>
          </cell>
        </row>
        <row r="1784">
          <cell r="A1784">
            <v>5</v>
          </cell>
          <cell r="B1784">
            <v>2006</v>
          </cell>
          <cell r="C1784">
            <v>3</v>
          </cell>
          <cell r="D1784" t="str">
            <v>Service-Devt</v>
          </cell>
          <cell r="E1784" t="str">
            <v>Oil</v>
          </cell>
          <cell r="F1784" t="str">
            <v>Conventional</v>
          </cell>
          <cell r="G1784">
            <v>0</v>
          </cell>
          <cell r="H1784" t="str">
            <v>Service/Storage</v>
          </cell>
          <cell r="I1784" t="str">
            <v>Oil;Conventional;0;5</v>
          </cell>
          <cell r="J1784" t="str">
            <v>AB</v>
          </cell>
          <cell r="K1784" t="str">
            <v>Medium</v>
          </cell>
          <cell r="L1784">
            <v>1</v>
          </cell>
          <cell r="M1784">
            <v>17</v>
          </cell>
        </row>
        <row r="1785">
          <cell r="A1785">
            <v>6</v>
          </cell>
          <cell r="B1785">
            <v>2000</v>
          </cell>
          <cell r="C1785">
            <v>1</v>
          </cell>
          <cell r="D1785" t="str">
            <v>Service-Devt</v>
          </cell>
          <cell r="E1785" t="str">
            <v>Oil</v>
          </cell>
          <cell r="F1785" t="str">
            <v>Conventional</v>
          </cell>
          <cell r="G1785">
            <v>0</v>
          </cell>
          <cell r="H1785" t="str">
            <v>Service/Storage</v>
          </cell>
          <cell r="I1785" t="str">
            <v>Oil;Conventional;0;6</v>
          </cell>
          <cell r="J1785" t="str">
            <v>AB</v>
          </cell>
          <cell r="K1785" t="str">
            <v>Shallow</v>
          </cell>
          <cell r="L1785">
            <v>3</v>
          </cell>
          <cell r="M1785">
            <v>7.5</v>
          </cell>
        </row>
        <row r="1786">
          <cell r="A1786">
            <v>6</v>
          </cell>
          <cell r="B1786">
            <v>2001</v>
          </cell>
          <cell r="C1786">
            <v>1</v>
          </cell>
          <cell r="D1786" t="str">
            <v>Service-Devt</v>
          </cell>
          <cell r="E1786" t="str">
            <v>Oil</v>
          </cell>
          <cell r="F1786" t="str">
            <v>Conventional</v>
          </cell>
          <cell r="G1786">
            <v>0</v>
          </cell>
          <cell r="H1786" t="str">
            <v>Service/Storage</v>
          </cell>
          <cell r="I1786" t="str">
            <v>Oil;Conventional;0;6</v>
          </cell>
          <cell r="J1786" t="str">
            <v>AB</v>
          </cell>
          <cell r="K1786" t="str">
            <v>Shallow</v>
          </cell>
          <cell r="L1786">
            <v>4</v>
          </cell>
          <cell r="M1786">
            <v>7.3333329999999997</v>
          </cell>
        </row>
        <row r="1787">
          <cell r="A1787">
            <v>6</v>
          </cell>
          <cell r="B1787">
            <v>2003</v>
          </cell>
          <cell r="C1787">
            <v>1</v>
          </cell>
          <cell r="D1787" t="str">
            <v>Service-Devt</v>
          </cell>
          <cell r="E1787" t="str">
            <v>Oil</v>
          </cell>
          <cell r="F1787" t="str">
            <v>Conventional</v>
          </cell>
          <cell r="G1787">
            <v>0</v>
          </cell>
          <cell r="H1787" t="str">
            <v>Service/Storage</v>
          </cell>
          <cell r="I1787" t="str">
            <v>Oil;Conventional;0;6</v>
          </cell>
          <cell r="J1787" t="str">
            <v>AB</v>
          </cell>
          <cell r="K1787" t="str">
            <v>Shallow</v>
          </cell>
          <cell r="L1787">
            <v>1</v>
          </cell>
          <cell r="M1787">
            <v>22</v>
          </cell>
        </row>
        <row r="1788">
          <cell r="A1788">
            <v>6</v>
          </cell>
          <cell r="B1788">
            <v>2004</v>
          </cell>
          <cell r="C1788">
            <v>1</v>
          </cell>
          <cell r="D1788" t="str">
            <v>Service-Devt</v>
          </cell>
          <cell r="E1788" t="str">
            <v>Oil</v>
          </cell>
          <cell r="F1788" t="str">
            <v>Conventional</v>
          </cell>
          <cell r="G1788">
            <v>0</v>
          </cell>
          <cell r="H1788" t="str">
            <v>Service/Storage</v>
          </cell>
          <cell r="I1788" t="str">
            <v>Oil;Conventional;0;6</v>
          </cell>
          <cell r="J1788" t="str">
            <v>AB</v>
          </cell>
          <cell r="K1788" t="str">
            <v>Shallow</v>
          </cell>
          <cell r="L1788">
            <v>1</v>
          </cell>
          <cell r="M1788">
            <v>1</v>
          </cell>
        </row>
        <row r="1789">
          <cell r="A1789">
            <v>6</v>
          </cell>
          <cell r="B1789">
            <v>2005</v>
          </cell>
          <cell r="C1789">
            <v>1</v>
          </cell>
          <cell r="D1789" t="str">
            <v>Service-Devt</v>
          </cell>
          <cell r="E1789" t="str">
            <v>Oil</v>
          </cell>
          <cell r="F1789" t="str">
            <v>Conventional</v>
          </cell>
          <cell r="G1789">
            <v>0</v>
          </cell>
          <cell r="H1789" t="str">
            <v>Service/Storage</v>
          </cell>
          <cell r="I1789" t="str">
            <v>Oil;Conventional;0;6</v>
          </cell>
          <cell r="J1789" t="str">
            <v>AB</v>
          </cell>
          <cell r="K1789" t="str">
            <v>Shallow</v>
          </cell>
          <cell r="L1789">
            <v>1</v>
          </cell>
          <cell r="M1789">
            <v>2.8333330000000001</v>
          </cell>
        </row>
        <row r="1790">
          <cell r="A1790">
            <v>7</v>
          </cell>
          <cell r="B1790">
            <v>2000</v>
          </cell>
          <cell r="C1790">
            <v>1</v>
          </cell>
          <cell r="D1790" t="str">
            <v>Service-Devt</v>
          </cell>
          <cell r="E1790" t="str">
            <v>Oil</v>
          </cell>
          <cell r="F1790" t="str">
            <v>Conventional</v>
          </cell>
          <cell r="G1790">
            <v>0</v>
          </cell>
          <cell r="H1790" t="str">
            <v>Service/Storage</v>
          </cell>
          <cell r="I1790" t="str">
            <v>Oil;Conventional;0;7</v>
          </cell>
          <cell r="J1790" t="str">
            <v>AB</v>
          </cell>
          <cell r="K1790" t="str">
            <v>Medium</v>
          </cell>
          <cell r="L1790">
            <v>8</v>
          </cell>
          <cell r="M1790">
            <v>87</v>
          </cell>
        </row>
        <row r="1791">
          <cell r="A1791">
            <v>7</v>
          </cell>
          <cell r="B1791">
            <v>2000</v>
          </cell>
          <cell r="C1791">
            <v>1</v>
          </cell>
          <cell r="D1791" t="str">
            <v>Service-Devt</v>
          </cell>
          <cell r="E1791" t="str">
            <v>Oil</v>
          </cell>
          <cell r="F1791" t="str">
            <v>Conventional</v>
          </cell>
          <cell r="G1791">
            <v>0</v>
          </cell>
          <cell r="H1791" t="str">
            <v>Service/Storage</v>
          </cell>
          <cell r="I1791" t="str">
            <v>Oil;Conventional;0;7</v>
          </cell>
          <cell r="J1791" t="str">
            <v>AB</v>
          </cell>
          <cell r="K1791" t="str">
            <v>SHALLOW</v>
          </cell>
          <cell r="L1791">
            <v>24</v>
          </cell>
          <cell r="M1791">
            <v>60.5</v>
          </cell>
        </row>
        <row r="1792">
          <cell r="A1792">
            <v>7</v>
          </cell>
          <cell r="B1792">
            <v>2001</v>
          </cell>
          <cell r="C1792">
            <v>1</v>
          </cell>
          <cell r="D1792" t="str">
            <v>Service-Devt</v>
          </cell>
          <cell r="E1792" t="str">
            <v>Oil</v>
          </cell>
          <cell r="F1792" t="str">
            <v>Conventional</v>
          </cell>
          <cell r="G1792">
            <v>0</v>
          </cell>
          <cell r="H1792" t="str">
            <v>Service/Storage</v>
          </cell>
          <cell r="I1792" t="str">
            <v>Oil;Conventional;0;7</v>
          </cell>
          <cell r="J1792" t="str">
            <v>AB</v>
          </cell>
          <cell r="K1792" t="str">
            <v>Medium</v>
          </cell>
          <cell r="L1792">
            <v>8</v>
          </cell>
          <cell r="M1792">
            <v>93</v>
          </cell>
        </row>
        <row r="1793">
          <cell r="A1793">
            <v>7</v>
          </cell>
          <cell r="B1793">
            <v>2001</v>
          </cell>
          <cell r="C1793">
            <v>1</v>
          </cell>
          <cell r="D1793" t="str">
            <v>Service-Devt</v>
          </cell>
          <cell r="E1793" t="str">
            <v>Oil</v>
          </cell>
          <cell r="F1793" t="str">
            <v>Conventional</v>
          </cell>
          <cell r="G1793">
            <v>0</v>
          </cell>
          <cell r="H1793" t="str">
            <v>Service/Storage</v>
          </cell>
          <cell r="I1793" t="str">
            <v>Oil;Conventional;0;7</v>
          </cell>
          <cell r="J1793" t="str">
            <v>AB</v>
          </cell>
          <cell r="K1793" t="str">
            <v>Shallow</v>
          </cell>
          <cell r="L1793">
            <v>12</v>
          </cell>
          <cell r="M1793">
            <v>42.333332999999996</v>
          </cell>
        </row>
        <row r="1794">
          <cell r="A1794">
            <v>7</v>
          </cell>
          <cell r="B1794">
            <v>2002</v>
          </cell>
          <cell r="C1794">
            <v>1</v>
          </cell>
          <cell r="D1794" t="str">
            <v>Service-Devt</v>
          </cell>
          <cell r="E1794" t="str">
            <v>Oil</v>
          </cell>
          <cell r="F1794" t="str">
            <v>Conventional</v>
          </cell>
          <cell r="G1794">
            <v>0</v>
          </cell>
          <cell r="H1794" t="str">
            <v>Service/Storage</v>
          </cell>
          <cell r="I1794" t="str">
            <v>Oil;Conventional;0;7</v>
          </cell>
          <cell r="J1794" t="str">
            <v>AB</v>
          </cell>
          <cell r="K1794" t="str">
            <v>MEDIUM</v>
          </cell>
          <cell r="L1794">
            <v>7</v>
          </cell>
          <cell r="M1794">
            <v>83</v>
          </cell>
        </row>
        <row r="1795">
          <cell r="A1795">
            <v>7</v>
          </cell>
          <cell r="B1795">
            <v>2002</v>
          </cell>
          <cell r="C1795">
            <v>1</v>
          </cell>
          <cell r="D1795" t="str">
            <v>Service-Devt</v>
          </cell>
          <cell r="E1795" t="str">
            <v>Oil</v>
          </cell>
          <cell r="F1795" t="str">
            <v>Conventional</v>
          </cell>
          <cell r="G1795">
            <v>0</v>
          </cell>
          <cell r="H1795" t="str">
            <v>Service/Storage</v>
          </cell>
          <cell r="I1795" t="str">
            <v>Oil;Conventional;0;7</v>
          </cell>
          <cell r="J1795" t="str">
            <v>AB</v>
          </cell>
          <cell r="K1795" t="str">
            <v>Shallow</v>
          </cell>
          <cell r="L1795">
            <v>3</v>
          </cell>
          <cell r="M1795">
            <v>9</v>
          </cell>
        </row>
        <row r="1796">
          <cell r="A1796">
            <v>7</v>
          </cell>
          <cell r="B1796">
            <v>2003</v>
          </cell>
          <cell r="C1796">
            <v>1</v>
          </cell>
          <cell r="D1796" t="str">
            <v>Service-Devt</v>
          </cell>
          <cell r="E1796" t="str">
            <v>Oil</v>
          </cell>
          <cell r="F1796" t="str">
            <v>Conventional</v>
          </cell>
          <cell r="G1796">
            <v>0</v>
          </cell>
          <cell r="H1796" t="str">
            <v>Service/Storage</v>
          </cell>
          <cell r="I1796" t="str">
            <v>Oil;Conventional;0;7</v>
          </cell>
          <cell r="J1796" t="str">
            <v>AB</v>
          </cell>
          <cell r="K1796" t="str">
            <v>Medium</v>
          </cell>
          <cell r="L1796">
            <v>10</v>
          </cell>
          <cell r="M1796">
            <v>99</v>
          </cell>
        </row>
        <row r="1797">
          <cell r="A1797">
            <v>7</v>
          </cell>
          <cell r="B1797">
            <v>2003</v>
          </cell>
          <cell r="C1797">
            <v>1</v>
          </cell>
          <cell r="D1797" t="str">
            <v>Service-Devt</v>
          </cell>
          <cell r="E1797" t="str">
            <v>Oil</v>
          </cell>
          <cell r="F1797" t="str">
            <v>Conventional</v>
          </cell>
          <cell r="G1797">
            <v>0</v>
          </cell>
          <cell r="H1797" t="str">
            <v>Service/Storage</v>
          </cell>
          <cell r="I1797" t="str">
            <v>Oil;Conventional;0;7</v>
          </cell>
          <cell r="J1797" t="str">
            <v>AB</v>
          </cell>
          <cell r="K1797" t="str">
            <v>Shallow</v>
          </cell>
          <cell r="L1797">
            <v>12</v>
          </cell>
          <cell r="M1797">
            <v>47.666665999999999</v>
          </cell>
        </row>
        <row r="1798">
          <cell r="A1798">
            <v>7</v>
          </cell>
          <cell r="B1798">
            <v>2003</v>
          </cell>
          <cell r="C1798">
            <v>2</v>
          </cell>
          <cell r="D1798" t="str">
            <v>Service-Devt</v>
          </cell>
          <cell r="E1798" t="str">
            <v>Oil</v>
          </cell>
          <cell r="F1798" t="str">
            <v>Conventional</v>
          </cell>
          <cell r="G1798">
            <v>0</v>
          </cell>
          <cell r="H1798" t="str">
            <v>Service/Storage</v>
          </cell>
          <cell r="I1798" t="str">
            <v>Oil;Conventional;0;7</v>
          </cell>
          <cell r="J1798" t="str">
            <v>AB</v>
          </cell>
          <cell r="K1798" t="str">
            <v>Medium</v>
          </cell>
          <cell r="L1798">
            <v>1</v>
          </cell>
          <cell r="M1798">
            <v>2</v>
          </cell>
        </row>
        <row r="1799">
          <cell r="A1799">
            <v>7</v>
          </cell>
          <cell r="B1799">
            <v>2004</v>
          </cell>
          <cell r="C1799">
            <v>1</v>
          </cell>
          <cell r="D1799" t="str">
            <v>Service-Devt</v>
          </cell>
          <cell r="E1799" t="str">
            <v>Oil</v>
          </cell>
          <cell r="F1799" t="str">
            <v>Conventional</v>
          </cell>
          <cell r="G1799">
            <v>0</v>
          </cell>
          <cell r="H1799" t="str">
            <v>Service/Storage</v>
          </cell>
          <cell r="I1799" t="str">
            <v>Oil;Conventional;0;7</v>
          </cell>
          <cell r="J1799" t="str">
            <v>AB</v>
          </cell>
          <cell r="K1799" t="str">
            <v>Medium</v>
          </cell>
          <cell r="L1799">
            <v>10</v>
          </cell>
          <cell r="M1799">
            <v>77</v>
          </cell>
        </row>
        <row r="1800">
          <cell r="A1800">
            <v>7</v>
          </cell>
          <cell r="B1800">
            <v>2004</v>
          </cell>
          <cell r="C1800">
            <v>1</v>
          </cell>
          <cell r="D1800" t="str">
            <v>Service-Devt</v>
          </cell>
          <cell r="E1800" t="str">
            <v>Oil</v>
          </cell>
          <cell r="F1800" t="str">
            <v>Conventional</v>
          </cell>
          <cell r="G1800">
            <v>0</v>
          </cell>
          <cell r="H1800" t="str">
            <v>Service/Storage</v>
          </cell>
          <cell r="I1800" t="str">
            <v>Oil;Conventional;0;7</v>
          </cell>
          <cell r="J1800" t="str">
            <v>AB</v>
          </cell>
          <cell r="K1800" t="str">
            <v>Shallow</v>
          </cell>
          <cell r="L1800">
            <v>1</v>
          </cell>
          <cell r="M1800">
            <v>7</v>
          </cell>
        </row>
        <row r="1801">
          <cell r="A1801">
            <v>7</v>
          </cell>
          <cell r="B1801">
            <v>2005</v>
          </cell>
          <cell r="C1801">
            <v>1</v>
          </cell>
          <cell r="D1801" t="str">
            <v>Service-Devt</v>
          </cell>
          <cell r="E1801" t="str">
            <v>Oil</v>
          </cell>
          <cell r="F1801" t="str">
            <v>Conventional</v>
          </cell>
          <cell r="G1801">
            <v>0</v>
          </cell>
          <cell r="H1801" t="str">
            <v>Service/Storage</v>
          </cell>
          <cell r="I1801" t="str">
            <v>Oil;Conventional;0;7</v>
          </cell>
          <cell r="J1801" t="str">
            <v>AB</v>
          </cell>
          <cell r="K1801" t="str">
            <v>Deep</v>
          </cell>
          <cell r="L1801">
            <v>1</v>
          </cell>
          <cell r="M1801">
            <v>19</v>
          </cell>
        </row>
        <row r="1802">
          <cell r="A1802">
            <v>7</v>
          </cell>
          <cell r="B1802">
            <v>2005</v>
          </cell>
          <cell r="C1802">
            <v>1</v>
          </cell>
          <cell r="D1802" t="str">
            <v>Service-Devt</v>
          </cell>
          <cell r="E1802" t="str">
            <v>Oil</v>
          </cell>
          <cell r="F1802" t="str">
            <v>Conventional</v>
          </cell>
          <cell r="G1802">
            <v>0</v>
          </cell>
          <cell r="H1802" t="str">
            <v>Service/Storage</v>
          </cell>
          <cell r="I1802" t="str">
            <v>Oil;Conventional;0;7</v>
          </cell>
          <cell r="J1802" t="str">
            <v>AB</v>
          </cell>
          <cell r="K1802" t="str">
            <v>MEDIUM</v>
          </cell>
          <cell r="L1802">
            <v>13</v>
          </cell>
          <cell r="M1802">
            <v>119</v>
          </cell>
        </row>
        <row r="1803">
          <cell r="A1803">
            <v>7</v>
          </cell>
          <cell r="B1803">
            <v>2005</v>
          </cell>
          <cell r="C1803">
            <v>1</v>
          </cell>
          <cell r="D1803" t="str">
            <v>Service-Devt</v>
          </cell>
          <cell r="E1803" t="str">
            <v>Oil</v>
          </cell>
          <cell r="F1803" t="str">
            <v>Conventional</v>
          </cell>
          <cell r="G1803">
            <v>0</v>
          </cell>
          <cell r="H1803" t="str">
            <v>Service/Storage</v>
          </cell>
          <cell r="I1803" t="str">
            <v>Oil;Conventional;0;7</v>
          </cell>
          <cell r="J1803" t="str">
            <v>AB</v>
          </cell>
          <cell r="K1803" t="str">
            <v>Shallow</v>
          </cell>
          <cell r="L1803">
            <v>3</v>
          </cell>
          <cell r="M1803">
            <v>19</v>
          </cell>
        </row>
        <row r="1804">
          <cell r="A1804">
            <v>7</v>
          </cell>
          <cell r="B1804">
            <v>2005</v>
          </cell>
          <cell r="C1804">
            <v>2</v>
          </cell>
          <cell r="D1804" t="str">
            <v>Service-Devt</v>
          </cell>
          <cell r="E1804" t="str">
            <v>Oil</v>
          </cell>
          <cell r="F1804" t="str">
            <v>Conventional</v>
          </cell>
          <cell r="G1804">
            <v>0</v>
          </cell>
          <cell r="H1804" t="str">
            <v>Service/Storage</v>
          </cell>
          <cell r="I1804" t="str">
            <v>Oil;Conventional;0;7</v>
          </cell>
          <cell r="J1804" t="str">
            <v>AB</v>
          </cell>
          <cell r="K1804" t="str">
            <v>Deep</v>
          </cell>
          <cell r="L1804">
            <v>2</v>
          </cell>
          <cell r="M1804">
            <v>9</v>
          </cell>
        </row>
        <row r="1805">
          <cell r="A1805">
            <v>7</v>
          </cell>
          <cell r="B1805">
            <v>2005</v>
          </cell>
          <cell r="C1805">
            <v>2</v>
          </cell>
          <cell r="D1805" t="str">
            <v>Service-Devt</v>
          </cell>
          <cell r="E1805" t="str">
            <v>Oil</v>
          </cell>
          <cell r="F1805" t="str">
            <v>Conventional</v>
          </cell>
          <cell r="G1805">
            <v>0</v>
          </cell>
          <cell r="H1805" t="str">
            <v>Service/Storage</v>
          </cell>
          <cell r="I1805" t="str">
            <v>Oil;Conventional;0;7</v>
          </cell>
          <cell r="J1805" t="str">
            <v>AB</v>
          </cell>
          <cell r="K1805" t="str">
            <v>Medium</v>
          </cell>
          <cell r="L1805">
            <v>9</v>
          </cell>
          <cell r="M1805">
            <v>30</v>
          </cell>
        </row>
        <row r="1806">
          <cell r="A1806">
            <v>7</v>
          </cell>
          <cell r="B1806">
            <v>2005</v>
          </cell>
          <cell r="C1806">
            <v>2</v>
          </cell>
          <cell r="D1806" t="str">
            <v>Service-Devt</v>
          </cell>
          <cell r="E1806" t="str">
            <v>Oil</v>
          </cell>
          <cell r="F1806" t="str">
            <v>Conventional</v>
          </cell>
          <cell r="G1806">
            <v>0</v>
          </cell>
          <cell r="H1806" t="str">
            <v>Service/Storage</v>
          </cell>
          <cell r="I1806" t="str">
            <v>Oil;Conventional;0;7</v>
          </cell>
          <cell r="J1806" t="str">
            <v>AB</v>
          </cell>
          <cell r="K1806" t="str">
            <v>Shallow</v>
          </cell>
          <cell r="L1806">
            <v>2</v>
          </cell>
          <cell r="M1806">
            <v>7</v>
          </cell>
        </row>
        <row r="1807">
          <cell r="A1807">
            <v>7</v>
          </cell>
          <cell r="B1807">
            <v>2006</v>
          </cell>
          <cell r="C1807">
            <v>1</v>
          </cell>
          <cell r="D1807" t="str">
            <v>Service-Devt</v>
          </cell>
          <cell r="E1807" t="str">
            <v>Oil</v>
          </cell>
          <cell r="F1807" t="str">
            <v>Conventional</v>
          </cell>
          <cell r="G1807">
            <v>0</v>
          </cell>
          <cell r="H1807" t="str">
            <v>Service/Storage</v>
          </cell>
          <cell r="I1807" t="str">
            <v>Oil;Conventional;0;7</v>
          </cell>
          <cell r="J1807" t="str">
            <v>AB</v>
          </cell>
          <cell r="K1807" t="str">
            <v>Deep</v>
          </cell>
          <cell r="L1807">
            <v>1</v>
          </cell>
          <cell r="M1807">
            <v>12</v>
          </cell>
        </row>
        <row r="1808">
          <cell r="A1808">
            <v>7</v>
          </cell>
          <cell r="B1808">
            <v>2006</v>
          </cell>
          <cell r="C1808">
            <v>1</v>
          </cell>
          <cell r="D1808" t="str">
            <v>Service-Devt</v>
          </cell>
          <cell r="E1808" t="str">
            <v>Oil</v>
          </cell>
          <cell r="F1808" t="str">
            <v>Conventional</v>
          </cell>
          <cell r="G1808">
            <v>0</v>
          </cell>
          <cell r="H1808" t="str">
            <v>Service/Storage</v>
          </cell>
          <cell r="I1808" t="str">
            <v>Oil;Conventional;0;7</v>
          </cell>
          <cell r="J1808" t="str">
            <v>AB</v>
          </cell>
          <cell r="K1808" t="str">
            <v>Medium</v>
          </cell>
          <cell r="L1808">
            <v>1</v>
          </cell>
          <cell r="M1808">
            <v>22</v>
          </cell>
        </row>
        <row r="1809">
          <cell r="A1809">
            <v>7</v>
          </cell>
          <cell r="B1809">
            <v>2006</v>
          </cell>
          <cell r="C1809">
            <v>1</v>
          </cell>
          <cell r="D1809" t="str">
            <v>Service-Devt</v>
          </cell>
          <cell r="E1809" t="str">
            <v>Oil</v>
          </cell>
          <cell r="F1809" t="str">
            <v>Conventional</v>
          </cell>
          <cell r="G1809">
            <v>0</v>
          </cell>
          <cell r="H1809" t="str">
            <v>Service/Storage</v>
          </cell>
          <cell r="I1809" t="str">
            <v>Oil;Conventional;0;7</v>
          </cell>
          <cell r="J1809" t="str">
            <v>AB</v>
          </cell>
          <cell r="K1809" t="str">
            <v>Shallow</v>
          </cell>
          <cell r="L1809">
            <v>3</v>
          </cell>
          <cell r="M1809">
            <v>19.16667</v>
          </cell>
        </row>
        <row r="1810">
          <cell r="A1810">
            <v>7</v>
          </cell>
          <cell r="B1810">
            <v>2006</v>
          </cell>
          <cell r="C1810">
            <v>3</v>
          </cell>
          <cell r="D1810" t="str">
            <v>Service-Devt</v>
          </cell>
          <cell r="E1810" t="str">
            <v>Oil</v>
          </cell>
          <cell r="F1810" t="str">
            <v>Conventional</v>
          </cell>
          <cell r="G1810">
            <v>0</v>
          </cell>
          <cell r="H1810" t="str">
            <v>Service/Storage</v>
          </cell>
          <cell r="I1810" t="str">
            <v>Oil;Conventional;0;7</v>
          </cell>
          <cell r="J1810" t="str">
            <v>AB</v>
          </cell>
          <cell r="K1810" t="str">
            <v>Medium</v>
          </cell>
          <cell r="L1810">
            <v>1</v>
          </cell>
          <cell r="M1810">
            <v>15</v>
          </cell>
        </row>
        <row r="1811">
          <cell r="A1811">
            <v>8</v>
          </cell>
          <cell r="B1811">
            <v>2000</v>
          </cell>
          <cell r="C1811">
            <v>1</v>
          </cell>
          <cell r="D1811" t="str">
            <v>Service-Devt</v>
          </cell>
          <cell r="E1811" t="str">
            <v>Oil</v>
          </cell>
          <cell r="F1811" t="str">
            <v>Conventional</v>
          </cell>
          <cell r="G1811">
            <v>0</v>
          </cell>
          <cell r="H1811" t="str">
            <v>Service/Storage</v>
          </cell>
          <cell r="I1811" t="str">
            <v>Oil;Conventional;0;8</v>
          </cell>
          <cell r="J1811" t="str">
            <v>BC</v>
          </cell>
          <cell r="K1811" t="str">
            <v>Medium</v>
          </cell>
          <cell r="L1811">
            <v>4</v>
          </cell>
          <cell r="M1811">
            <v>54.5</v>
          </cell>
        </row>
        <row r="1812">
          <cell r="A1812">
            <v>8</v>
          </cell>
          <cell r="B1812">
            <v>2000</v>
          </cell>
          <cell r="C1812">
            <v>1</v>
          </cell>
          <cell r="D1812" t="str">
            <v>Service-Devt</v>
          </cell>
          <cell r="E1812" t="str">
            <v>Oil</v>
          </cell>
          <cell r="F1812" t="str">
            <v>Conventional</v>
          </cell>
          <cell r="G1812">
            <v>0</v>
          </cell>
          <cell r="H1812" t="str">
            <v>Service/Storage</v>
          </cell>
          <cell r="I1812" t="str">
            <v>Oil;Conventional;0;8</v>
          </cell>
          <cell r="J1812" t="str">
            <v>BC</v>
          </cell>
          <cell r="K1812" t="str">
            <v>Shallow</v>
          </cell>
          <cell r="L1812">
            <v>1</v>
          </cell>
          <cell r="M1812">
            <v>10</v>
          </cell>
        </row>
        <row r="1813">
          <cell r="A1813">
            <v>8</v>
          </cell>
          <cell r="B1813">
            <v>2000</v>
          </cell>
          <cell r="C1813">
            <v>2</v>
          </cell>
          <cell r="D1813" t="str">
            <v>Service-Devt</v>
          </cell>
          <cell r="E1813" t="str">
            <v>Oil</v>
          </cell>
          <cell r="F1813" t="str">
            <v>Conventional</v>
          </cell>
          <cell r="G1813">
            <v>0</v>
          </cell>
          <cell r="H1813" t="str">
            <v>Service/Storage</v>
          </cell>
          <cell r="I1813" t="str">
            <v>Oil;Conventional;0;8</v>
          </cell>
          <cell r="J1813" t="str">
            <v>BC</v>
          </cell>
          <cell r="K1813" t="str">
            <v>Medium</v>
          </cell>
          <cell r="L1813">
            <v>1</v>
          </cell>
          <cell r="M1813">
            <v>12</v>
          </cell>
        </row>
        <row r="1814">
          <cell r="A1814">
            <v>8</v>
          </cell>
          <cell r="B1814">
            <v>2001</v>
          </cell>
          <cell r="C1814">
            <v>1</v>
          </cell>
          <cell r="D1814" t="str">
            <v>Service-Devt</v>
          </cell>
          <cell r="E1814" t="str">
            <v>Oil</v>
          </cell>
          <cell r="F1814" t="str">
            <v>Conventional</v>
          </cell>
          <cell r="G1814">
            <v>0</v>
          </cell>
          <cell r="H1814" t="str">
            <v>Service/Storage</v>
          </cell>
          <cell r="I1814" t="str">
            <v>Oil;Conventional;0;8</v>
          </cell>
          <cell r="J1814" t="str">
            <v>BC</v>
          </cell>
          <cell r="K1814" t="str">
            <v>Medium</v>
          </cell>
          <cell r="L1814">
            <v>1</v>
          </cell>
          <cell r="M1814">
            <v>17</v>
          </cell>
        </row>
        <row r="1815">
          <cell r="A1815">
            <v>8</v>
          </cell>
          <cell r="B1815">
            <v>2002</v>
          </cell>
          <cell r="C1815">
            <v>1</v>
          </cell>
          <cell r="D1815" t="str">
            <v>Service-Devt</v>
          </cell>
          <cell r="E1815" t="str">
            <v>Oil</v>
          </cell>
          <cell r="F1815" t="str">
            <v>Conventional</v>
          </cell>
          <cell r="G1815">
            <v>0</v>
          </cell>
          <cell r="H1815" t="str">
            <v>Service/Storage</v>
          </cell>
          <cell r="I1815" t="str">
            <v>Oil;Conventional;0;8</v>
          </cell>
          <cell r="J1815" t="str">
            <v>BC</v>
          </cell>
          <cell r="K1815" t="str">
            <v>Deep</v>
          </cell>
          <cell r="L1815">
            <v>1</v>
          </cell>
          <cell r="M1815">
            <v>92</v>
          </cell>
        </row>
        <row r="1816">
          <cell r="A1816">
            <v>8</v>
          </cell>
          <cell r="B1816">
            <v>2002</v>
          </cell>
          <cell r="C1816">
            <v>1</v>
          </cell>
          <cell r="D1816" t="str">
            <v>Service-Devt</v>
          </cell>
          <cell r="E1816" t="str">
            <v>Oil</v>
          </cell>
          <cell r="F1816" t="str">
            <v>Conventional</v>
          </cell>
          <cell r="G1816">
            <v>0</v>
          </cell>
          <cell r="H1816" t="str">
            <v>Service/Storage</v>
          </cell>
          <cell r="I1816" t="str">
            <v>Oil;Conventional;0;8</v>
          </cell>
          <cell r="J1816" t="str">
            <v>BC</v>
          </cell>
          <cell r="K1816" t="str">
            <v>Medium</v>
          </cell>
          <cell r="L1816">
            <v>1</v>
          </cell>
          <cell r="M1816">
            <v>12</v>
          </cell>
        </row>
        <row r="1817">
          <cell r="A1817">
            <v>8</v>
          </cell>
          <cell r="B1817">
            <v>2002</v>
          </cell>
          <cell r="C1817">
            <v>1</v>
          </cell>
          <cell r="D1817" t="str">
            <v>Service-Devt</v>
          </cell>
          <cell r="E1817" t="str">
            <v>Oil</v>
          </cell>
          <cell r="F1817" t="str">
            <v>Conventional</v>
          </cell>
          <cell r="G1817">
            <v>0</v>
          </cell>
          <cell r="H1817" t="str">
            <v>Service/Storage</v>
          </cell>
          <cell r="I1817" t="str">
            <v>Oil;Conventional;0;8</v>
          </cell>
          <cell r="J1817" t="str">
            <v>BC</v>
          </cell>
          <cell r="K1817" t="str">
            <v>Shallow</v>
          </cell>
          <cell r="L1817">
            <v>1</v>
          </cell>
          <cell r="M1817">
            <v>9.5</v>
          </cell>
        </row>
        <row r="1818">
          <cell r="A1818">
            <v>8</v>
          </cell>
          <cell r="B1818">
            <v>2003</v>
          </cell>
          <cell r="C1818">
            <v>1</v>
          </cell>
          <cell r="D1818" t="str">
            <v>Service-Devt</v>
          </cell>
          <cell r="E1818" t="str">
            <v>Oil</v>
          </cell>
          <cell r="F1818" t="str">
            <v>Conventional</v>
          </cell>
          <cell r="G1818">
            <v>0</v>
          </cell>
          <cell r="H1818" t="str">
            <v>Service/Storage</v>
          </cell>
          <cell r="I1818" t="str">
            <v>Oil;Conventional;0;8</v>
          </cell>
          <cell r="J1818" t="str">
            <v>BC</v>
          </cell>
          <cell r="K1818" t="str">
            <v>Deep</v>
          </cell>
          <cell r="L1818">
            <v>1</v>
          </cell>
          <cell r="M1818">
            <v>98</v>
          </cell>
        </row>
        <row r="1819">
          <cell r="A1819">
            <v>8</v>
          </cell>
          <cell r="B1819">
            <v>2003</v>
          </cell>
          <cell r="C1819">
            <v>1</v>
          </cell>
          <cell r="D1819" t="str">
            <v>Service-Devt</v>
          </cell>
          <cell r="E1819" t="str">
            <v>Oil</v>
          </cell>
          <cell r="F1819" t="str">
            <v>Conventional</v>
          </cell>
          <cell r="G1819">
            <v>0</v>
          </cell>
          <cell r="H1819" t="str">
            <v>Service/Storage</v>
          </cell>
          <cell r="I1819" t="str">
            <v>Oil;Conventional;0;8</v>
          </cell>
          <cell r="J1819" t="str">
            <v>BC</v>
          </cell>
          <cell r="K1819" t="str">
            <v>Medium</v>
          </cell>
          <cell r="L1819">
            <v>1</v>
          </cell>
          <cell r="M1819">
            <v>6</v>
          </cell>
        </row>
        <row r="1820">
          <cell r="A1820">
            <v>8</v>
          </cell>
          <cell r="B1820">
            <v>2004</v>
          </cell>
          <cell r="C1820">
            <v>1</v>
          </cell>
          <cell r="D1820" t="str">
            <v>Service-Devt</v>
          </cell>
          <cell r="E1820" t="str">
            <v>Oil</v>
          </cell>
          <cell r="F1820" t="str">
            <v>Conventional</v>
          </cell>
          <cell r="G1820">
            <v>0</v>
          </cell>
          <cell r="H1820" t="str">
            <v>Service/Storage</v>
          </cell>
          <cell r="I1820" t="str">
            <v>Oil;Conventional;0;8</v>
          </cell>
          <cell r="J1820" t="str">
            <v>BC</v>
          </cell>
          <cell r="K1820" t="str">
            <v>Medium</v>
          </cell>
          <cell r="L1820">
            <v>1</v>
          </cell>
          <cell r="M1820">
            <v>4</v>
          </cell>
        </row>
        <row r="1821">
          <cell r="A1821">
            <v>8</v>
          </cell>
          <cell r="B1821">
            <v>2004</v>
          </cell>
          <cell r="C1821">
            <v>1</v>
          </cell>
          <cell r="D1821" t="str">
            <v>Service-Devt</v>
          </cell>
          <cell r="E1821" t="str">
            <v>Oil</v>
          </cell>
          <cell r="F1821" t="str">
            <v>Conventional</v>
          </cell>
          <cell r="G1821">
            <v>0</v>
          </cell>
          <cell r="H1821" t="str">
            <v>Service/Storage</v>
          </cell>
          <cell r="I1821" t="str">
            <v>Oil;Conventional;0;8</v>
          </cell>
          <cell r="J1821" t="str">
            <v>BC</v>
          </cell>
          <cell r="K1821" t="str">
            <v>Shallow</v>
          </cell>
          <cell r="L1821">
            <v>1</v>
          </cell>
          <cell r="M1821">
            <v>11</v>
          </cell>
        </row>
        <row r="1822">
          <cell r="A1822">
            <v>8</v>
          </cell>
          <cell r="B1822">
            <v>2005</v>
          </cell>
          <cell r="C1822">
            <v>1</v>
          </cell>
          <cell r="D1822" t="str">
            <v>Service-Devt</v>
          </cell>
          <cell r="E1822" t="str">
            <v>Oil</v>
          </cell>
          <cell r="F1822" t="str">
            <v>Conventional</v>
          </cell>
          <cell r="G1822">
            <v>0</v>
          </cell>
          <cell r="H1822" t="str">
            <v>Service/Storage</v>
          </cell>
          <cell r="I1822" t="str">
            <v>Oil;Conventional;0;8</v>
          </cell>
          <cell r="J1822" t="str">
            <v>BC</v>
          </cell>
          <cell r="K1822" t="str">
            <v>Shallow</v>
          </cell>
          <cell r="L1822">
            <v>1</v>
          </cell>
          <cell r="M1822">
            <v>12.5</v>
          </cell>
        </row>
        <row r="1823">
          <cell r="A1823">
            <v>9</v>
          </cell>
          <cell r="B1823">
            <v>2000</v>
          </cell>
          <cell r="C1823">
            <v>1</v>
          </cell>
          <cell r="D1823" t="str">
            <v>Service-Devt</v>
          </cell>
          <cell r="E1823" t="str">
            <v>Oil</v>
          </cell>
          <cell r="F1823" t="str">
            <v>Conventional</v>
          </cell>
          <cell r="G1823">
            <v>0</v>
          </cell>
          <cell r="H1823" t="str">
            <v>Service/Storage</v>
          </cell>
          <cell r="I1823" t="str">
            <v>Oil;Conventional;0;9</v>
          </cell>
          <cell r="J1823" t="str">
            <v>BC</v>
          </cell>
          <cell r="K1823" t="str">
            <v>MEDIUM</v>
          </cell>
          <cell r="L1823">
            <v>4</v>
          </cell>
          <cell r="M1823">
            <v>45.5</v>
          </cell>
        </row>
        <row r="1824">
          <cell r="A1824">
            <v>9</v>
          </cell>
          <cell r="B1824">
            <v>2000</v>
          </cell>
          <cell r="C1824">
            <v>1</v>
          </cell>
          <cell r="D1824" t="str">
            <v>Service-Devt</v>
          </cell>
          <cell r="E1824" t="str">
            <v>Oil</v>
          </cell>
          <cell r="F1824" t="str">
            <v>Conventional</v>
          </cell>
          <cell r="G1824">
            <v>0</v>
          </cell>
          <cell r="H1824" t="str">
            <v>Service/Storage</v>
          </cell>
          <cell r="I1824" t="str">
            <v>Oil;Conventional;0;9</v>
          </cell>
          <cell r="J1824" t="str">
            <v>BC</v>
          </cell>
          <cell r="K1824" t="str">
            <v>SHALLOW</v>
          </cell>
          <cell r="L1824">
            <v>4</v>
          </cell>
          <cell r="M1824">
            <v>18.039505999999999</v>
          </cell>
        </row>
        <row r="1825">
          <cell r="A1825">
            <v>9</v>
          </cell>
          <cell r="B1825">
            <v>2001</v>
          </cell>
          <cell r="C1825">
            <v>1</v>
          </cell>
          <cell r="D1825" t="str">
            <v>Service-Devt</v>
          </cell>
          <cell r="E1825" t="str">
            <v>Oil</v>
          </cell>
          <cell r="F1825" t="str">
            <v>Conventional</v>
          </cell>
          <cell r="G1825">
            <v>0</v>
          </cell>
          <cell r="H1825" t="str">
            <v>Service/Storage</v>
          </cell>
          <cell r="I1825" t="str">
            <v>Oil;Conventional;0;9</v>
          </cell>
          <cell r="J1825" t="str">
            <v>BC</v>
          </cell>
          <cell r="K1825" t="str">
            <v>SHALLOW</v>
          </cell>
          <cell r="L1825">
            <v>13</v>
          </cell>
          <cell r="M1825">
            <v>65.263942999999983</v>
          </cell>
        </row>
        <row r="1826">
          <cell r="A1826">
            <v>9</v>
          </cell>
          <cell r="B1826">
            <v>2002</v>
          </cell>
          <cell r="C1826">
            <v>1</v>
          </cell>
          <cell r="D1826" t="str">
            <v>Service-Devt</v>
          </cell>
          <cell r="E1826" t="str">
            <v>Oil</v>
          </cell>
          <cell r="F1826" t="str">
            <v>Conventional</v>
          </cell>
          <cell r="G1826">
            <v>0</v>
          </cell>
          <cell r="H1826" t="str">
            <v>Service/Storage</v>
          </cell>
          <cell r="I1826" t="str">
            <v>Oil;Conventional;0;9</v>
          </cell>
          <cell r="J1826" t="str">
            <v>BC</v>
          </cell>
          <cell r="K1826" t="str">
            <v>Medium</v>
          </cell>
          <cell r="L1826">
            <v>9</v>
          </cell>
          <cell r="M1826">
            <v>58.425792999999999</v>
          </cell>
        </row>
        <row r="1827">
          <cell r="A1827">
            <v>9</v>
          </cell>
          <cell r="B1827">
            <v>2002</v>
          </cell>
          <cell r="C1827">
            <v>1</v>
          </cell>
          <cell r="D1827" t="str">
            <v>Service-Devt</v>
          </cell>
          <cell r="E1827" t="str">
            <v>Oil</v>
          </cell>
          <cell r="F1827" t="str">
            <v>Conventional</v>
          </cell>
          <cell r="G1827">
            <v>0</v>
          </cell>
          <cell r="H1827" t="str">
            <v>Service/Storage</v>
          </cell>
          <cell r="I1827" t="str">
            <v>Oil;Conventional;0;9</v>
          </cell>
          <cell r="J1827" t="str">
            <v>BC</v>
          </cell>
          <cell r="K1827" t="str">
            <v>Shallow</v>
          </cell>
          <cell r="L1827">
            <v>7</v>
          </cell>
          <cell r="M1827">
            <v>31.863094999999994</v>
          </cell>
        </row>
        <row r="1828">
          <cell r="A1828">
            <v>9</v>
          </cell>
          <cell r="B1828">
            <v>2003</v>
          </cell>
          <cell r="C1828">
            <v>1</v>
          </cell>
          <cell r="D1828" t="str">
            <v>Service-Devt</v>
          </cell>
          <cell r="E1828" t="str">
            <v>Oil</v>
          </cell>
          <cell r="F1828" t="str">
            <v>Conventional</v>
          </cell>
          <cell r="G1828">
            <v>0</v>
          </cell>
          <cell r="H1828" t="str">
            <v>Service/Storage</v>
          </cell>
          <cell r="I1828" t="str">
            <v>Oil;Conventional;0;9</v>
          </cell>
          <cell r="J1828" t="str">
            <v>BC</v>
          </cell>
          <cell r="K1828" t="str">
            <v>Medium</v>
          </cell>
          <cell r="L1828">
            <v>4</v>
          </cell>
          <cell r="M1828">
            <v>22.833333</v>
          </cell>
        </row>
        <row r="1829">
          <cell r="A1829">
            <v>9</v>
          </cell>
          <cell r="B1829">
            <v>2003</v>
          </cell>
          <cell r="C1829">
            <v>1</v>
          </cell>
          <cell r="D1829" t="str">
            <v>Service-Devt</v>
          </cell>
          <cell r="E1829" t="str">
            <v>Oil</v>
          </cell>
          <cell r="F1829" t="str">
            <v>Conventional</v>
          </cell>
          <cell r="G1829">
            <v>0</v>
          </cell>
          <cell r="H1829" t="str">
            <v>Service/Storage</v>
          </cell>
          <cell r="I1829" t="str">
            <v>Oil;Conventional;0;9</v>
          </cell>
          <cell r="J1829" t="str">
            <v>BC</v>
          </cell>
          <cell r="K1829" t="str">
            <v>SHALLOW</v>
          </cell>
          <cell r="L1829">
            <v>23</v>
          </cell>
          <cell r="M1829">
            <v>111.20367820000003</v>
          </cell>
        </row>
        <row r="1830">
          <cell r="A1830">
            <v>9</v>
          </cell>
          <cell r="B1830">
            <v>2004</v>
          </cell>
          <cell r="C1830">
            <v>1</v>
          </cell>
          <cell r="D1830" t="str">
            <v>Service-Devt</v>
          </cell>
          <cell r="E1830" t="str">
            <v>Oil</v>
          </cell>
          <cell r="F1830" t="str">
            <v>Conventional</v>
          </cell>
          <cell r="G1830">
            <v>0</v>
          </cell>
          <cell r="H1830" t="str">
            <v>Service/Storage</v>
          </cell>
          <cell r="I1830" t="str">
            <v>Oil;Conventional;0;9</v>
          </cell>
          <cell r="J1830" t="str">
            <v>BC</v>
          </cell>
          <cell r="K1830" t="str">
            <v>Deep</v>
          </cell>
          <cell r="L1830">
            <v>2</v>
          </cell>
          <cell r="M1830">
            <v>13</v>
          </cell>
        </row>
        <row r="1831">
          <cell r="A1831">
            <v>9</v>
          </cell>
          <cell r="B1831">
            <v>2004</v>
          </cell>
          <cell r="C1831">
            <v>1</v>
          </cell>
          <cell r="D1831" t="str">
            <v>Service-Devt</v>
          </cell>
          <cell r="E1831" t="str">
            <v>Oil</v>
          </cell>
          <cell r="F1831" t="str">
            <v>Conventional</v>
          </cell>
          <cell r="G1831">
            <v>0</v>
          </cell>
          <cell r="H1831" t="str">
            <v>Service/Storage</v>
          </cell>
          <cell r="I1831" t="str">
            <v>Oil;Conventional;0;9</v>
          </cell>
          <cell r="J1831" t="str">
            <v>BC</v>
          </cell>
          <cell r="K1831" t="str">
            <v>Medium</v>
          </cell>
          <cell r="L1831">
            <v>5</v>
          </cell>
          <cell r="M1831">
            <v>47</v>
          </cell>
        </row>
        <row r="1832">
          <cell r="A1832">
            <v>9</v>
          </cell>
          <cell r="B1832">
            <v>2004</v>
          </cell>
          <cell r="C1832">
            <v>1</v>
          </cell>
          <cell r="D1832" t="str">
            <v>Service-Devt</v>
          </cell>
          <cell r="E1832" t="str">
            <v>Oil</v>
          </cell>
          <cell r="F1832" t="str">
            <v>Conventional</v>
          </cell>
          <cell r="G1832">
            <v>0</v>
          </cell>
          <cell r="H1832" t="str">
            <v>Service/Storage</v>
          </cell>
          <cell r="I1832" t="str">
            <v>Oil;Conventional;0;9</v>
          </cell>
          <cell r="J1832" t="str">
            <v>BC</v>
          </cell>
          <cell r="K1832" t="str">
            <v>Shallow</v>
          </cell>
          <cell r="L1832">
            <v>9</v>
          </cell>
          <cell r="M1832">
            <v>41.446535999999995</v>
          </cell>
        </row>
        <row r="1833">
          <cell r="A1833">
            <v>9</v>
          </cell>
          <cell r="B1833">
            <v>2005</v>
          </cell>
          <cell r="C1833">
            <v>1</v>
          </cell>
          <cell r="D1833" t="str">
            <v>Service-Devt</v>
          </cell>
          <cell r="E1833" t="str">
            <v>Oil</v>
          </cell>
          <cell r="F1833" t="str">
            <v>Conventional</v>
          </cell>
          <cell r="G1833">
            <v>0</v>
          </cell>
          <cell r="H1833" t="str">
            <v>Service/Storage</v>
          </cell>
          <cell r="I1833" t="str">
            <v>Oil;Conventional;0;9</v>
          </cell>
          <cell r="J1833" t="str">
            <v>BC</v>
          </cell>
          <cell r="K1833" t="str">
            <v>Shallow</v>
          </cell>
          <cell r="L1833">
            <v>3</v>
          </cell>
          <cell r="M1833">
            <v>11.972619</v>
          </cell>
        </row>
        <row r="1834">
          <cell r="A1834">
            <v>9</v>
          </cell>
          <cell r="B1834">
            <v>2006</v>
          </cell>
          <cell r="C1834">
            <v>1</v>
          </cell>
          <cell r="D1834" t="str">
            <v>Service-Devt</v>
          </cell>
          <cell r="E1834" t="str">
            <v>Oil</v>
          </cell>
          <cell r="F1834" t="str">
            <v>Conventional</v>
          </cell>
          <cell r="G1834">
            <v>0</v>
          </cell>
          <cell r="H1834" t="str">
            <v>Service/Storage</v>
          </cell>
          <cell r="I1834" t="str">
            <v>Oil;Conventional;0;9</v>
          </cell>
          <cell r="J1834" t="str">
            <v>BC</v>
          </cell>
          <cell r="K1834" t="str">
            <v>Medium</v>
          </cell>
          <cell r="L1834">
            <v>2</v>
          </cell>
          <cell r="M1834">
            <v>26</v>
          </cell>
        </row>
        <row r="1835">
          <cell r="A1835">
            <v>9</v>
          </cell>
          <cell r="B1835">
            <v>2006</v>
          </cell>
          <cell r="C1835">
            <v>1</v>
          </cell>
          <cell r="D1835" t="str">
            <v>Service-Devt</v>
          </cell>
          <cell r="E1835" t="str">
            <v>Oil</v>
          </cell>
          <cell r="F1835" t="str">
            <v>Conventional</v>
          </cell>
          <cell r="G1835">
            <v>0</v>
          </cell>
          <cell r="H1835" t="str">
            <v>Service/Storage</v>
          </cell>
          <cell r="I1835" t="str">
            <v>Oil;Conventional;0;9</v>
          </cell>
          <cell r="J1835" t="str">
            <v>BC</v>
          </cell>
          <cell r="K1835" t="str">
            <v>Shallow</v>
          </cell>
          <cell r="L1835">
            <v>5</v>
          </cell>
          <cell r="M1835">
            <v>27</v>
          </cell>
        </row>
        <row r="1836">
          <cell r="A1836">
            <v>11</v>
          </cell>
          <cell r="B1836">
            <v>2000</v>
          </cell>
          <cell r="C1836">
            <v>1</v>
          </cell>
          <cell r="D1836" t="str">
            <v>Service-Devt</v>
          </cell>
          <cell r="E1836" t="str">
            <v>Oil</v>
          </cell>
          <cell r="F1836" t="str">
            <v>Conventional</v>
          </cell>
          <cell r="G1836">
            <v>0</v>
          </cell>
          <cell r="H1836" t="str">
            <v>Service/Storage</v>
          </cell>
          <cell r="I1836" t="str">
            <v>Oil;Conventional;0;11</v>
          </cell>
          <cell r="J1836" t="str">
            <v>SK</v>
          </cell>
          <cell r="K1836" t="str">
            <v>Medium</v>
          </cell>
          <cell r="L1836">
            <v>1</v>
          </cell>
          <cell r="M1836">
            <v>3</v>
          </cell>
        </row>
        <row r="1837">
          <cell r="A1837">
            <v>11</v>
          </cell>
          <cell r="B1837">
            <v>2000</v>
          </cell>
          <cell r="C1837">
            <v>1</v>
          </cell>
          <cell r="D1837" t="str">
            <v>Service-Devt</v>
          </cell>
          <cell r="E1837" t="str">
            <v>Oil</v>
          </cell>
          <cell r="F1837" t="str">
            <v>Conventional</v>
          </cell>
          <cell r="G1837">
            <v>0</v>
          </cell>
          <cell r="H1837" t="str">
            <v>Service/Storage</v>
          </cell>
          <cell r="I1837" t="str">
            <v>Oil;Conventional;0;11</v>
          </cell>
          <cell r="J1837" t="str">
            <v>SK</v>
          </cell>
          <cell r="K1837" t="str">
            <v>Shallow</v>
          </cell>
          <cell r="L1837">
            <v>1</v>
          </cell>
          <cell r="M1837">
            <v>1</v>
          </cell>
        </row>
        <row r="1838">
          <cell r="A1838">
            <v>11</v>
          </cell>
          <cell r="B1838">
            <v>2001</v>
          </cell>
          <cell r="C1838">
            <v>1</v>
          </cell>
          <cell r="D1838" t="str">
            <v>Service-Devt</v>
          </cell>
          <cell r="E1838" t="str">
            <v>Oil</v>
          </cell>
          <cell r="F1838" t="str">
            <v>Conventional</v>
          </cell>
          <cell r="G1838">
            <v>0</v>
          </cell>
          <cell r="H1838" t="str">
            <v>Service/Storage</v>
          </cell>
          <cell r="I1838" t="str">
            <v>Oil;Conventional;0;11</v>
          </cell>
          <cell r="J1838" t="str">
            <v>SK</v>
          </cell>
          <cell r="K1838" t="str">
            <v>Shallow</v>
          </cell>
          <cell r="L1838">
            <v>9</v>
          </cell>
          <cell r="M1838">
            <v>48</v>
          </cell>
        </row>
        <row r="1839">
          <cell r="A1839">
            <v>11</v>
          </cell>
          <cell r="B1839">
            <v>2002</v>
          </cell>
          <cell r="C1839">
            <v>1</v>
          </cell>
          <cell r="D1839" t="str">
            <v>Service-Devt</v>
          </cell>
          <cell r="E1839" t="str">
            <v>Oil</v>
          </cell>
          <cell r="F1839" t="str">
            <v>Conventional</v>
          </cell>
          <cell r="G1839">
            <v>0</v>
          </cell>
          <cell r="H1839" t="str">
            <v>Service/Storage</v>
          </cell>
          <cell r="I1839" t="str">
            <v>Oil;Conventional;0;11</v>
          </cell>
          <cell r="J1839" t="str">
            <v>SK</v>
          </cell>
          <cell r="K1839" t="str">
            <v>Medium</v>
          </cell>
          <cell r="L1839">
            <v>3</v>
          </cell>
          <cell r="M1839">
            <v>15.542641</v>
          </cell>
        </row>
        <row r="1840">
          <cell r="A1840">
            <v>11</v>
          </cell>
          <cell r="B1840">
            <v>2002</v>
          </cell>
          <cell r="C1840">
            <v>1</v>
          </cell>
          <cell r="D1840" t="str">
            <v>Service-Devt</v>
          </cell>
          <cell r="E1840" t="str">
            <v>Oil</v>
          </cell>
          <cell r="F1840" t="str">
            <v>Conventional</v>
          </cell>
          <cell r="G1840">
            <v>0</v>
          </cell>
          <cell r="H1840" t="str">
            <v>Service/Storage</v>
          </cell>
          <cell r="I1840" t="str">
            <v>Oil;Conventional;0;11</v>
          </cell>
          <cell r="J1840" t="str">
            <v>SK</v>
          </cell>
          <cell r="K1840" t="str">
            <v>Shallow</v>
          </cell>
          <cell r="L1840">
            <v>2</v>
          </cell>
          <cell r="M1840">
            <v>12.57597</v>
          </cell>
        </row>
        <row r="1841">
          <cell r="A1841">
            <v>11</v>
          </cell>
          <cell r="B1841">
            <v>2003</v>
          </cell>
          <cell r="C1841">
            <v>1</v>
          </cell>
          <cell r="D1841" t="str">
            <v>Service-Devt</v>
          </cell>
          <cell r="E1841" t="str">
            <v>Oil</v>
          </cell>
          <cell r="F1841" t="str">
            <v>Conventional</v>
          </cell>
          <cell r="G1841">
            <v>0</v>
          </cell>
          <cell r="H1841" t="str">
            <v>Service/Storage</v>
          </cell>
          <cell r="I1841" t="str">
            <v>Oil;Conventional;0;11</v>
          </cell>
          <cell r="J1841" t="str">
            <v>SK</v>
          </cell>
          <cell r="K1841" t="str">
            <v>Medium</v>
          </cell>
          <cell r="L1841">
            <v>7</v>
          </cell>
          <cell r="M1841">
            <v>58.9</v>
          </cell>
        </row>
        <row r="1842">
          <cell r="A1842">
            <v>11</v>
          </cell>
          <cell r="B1842">
            <v>2003</v>
          </cell>
          <cell r="C1842">
            <v>1</v>
          </cell>
          <cell r="D1842" t="str">
            <v>Service-Devt</v>
          </cell>
          <cell r="E1842" t="str">
            <v>Oil</v>
          </cell>
          <cell r="F1842" t="str">
            <v>Conventional</v>
          </cell>
          <cell r="G1842">
            <v>0</v>
          </cell>
          <cell r="H1842" t="str">
            <v>Service/Storage</v>
          </cell>
          <cell r="I1842" t="str">
            <v>Oil;Conventional;0;11</v>
          </cell>
          <cell r="J1842" t="str">
            <v>SK</v>
          </cell>
          <cell r="K1842" t="str">
            <v>Shallow</v>
          </cell>
          <cell r="L1842">
            <v>6</v>
          </cell>
          <cell r="M1842">
            <v>53</v>
          </cell>
        </row>
        <row r="1843">
          <cell r="A1843">
            <v>11</v>
          </cell>
          <cell r="B1843">
            <v>2004</v>
          </cell>
          <cell r="C1843">
            <v>1</v>
          </cell>
          <cell r="D1843" t="str">
            <v>Service-Devt</v>
          </cell>
          <cell r="E1843" t="str">
            <v>Oil</v>
          </cell>
          <cell r="F1843" t="str">
            <v>Conventional</v>
          </cell>
          <cell r="G1843">
            <v>0</v>
          </cell>
          <cell r="H1843" t="str">
            <v>Service/Storage</v>
          </cell>
          <cell r="I1843" t="str">
            <v>Oil;Conventional;0;11</v>
          </cell>
          <cell r="J1843" t="str">
            <v>SK</v>
          </cell>
          <cell r="K1843" t="str">
            <v>Medium</v>
          </cell>
          <cell r="L1843">
            <v>2</v>
          </cell>
          <cell r="M1843">
            <v>10</v>
          </cell>
        </row>
        <row r="1844">
          <cell r="A1844">
            <v>11</v>
          </cell>
          <cell r="B1844">
            <v>2004</v>
          </cell>
          <cell r="C1844">
            <v>1</v>
          </cell>
          <cell r="D1844" t="str">
            <v>Service-Devt</v>
          </cell>
          <cell r="E1844" t="str">
            <v>Oil</v>
          </cell>
          <cell r="F1844" t="str">
            <v>Conventional</v>
          </cell>
          <cell r="G1844">
            <v>0</v>
          </cell>
          <cell r="H1844" t="str">
            <v>Service/Storage</v>
          </cell>
          <cell r="I1844" t="str">
            <v>Oil;Conventional;0;11</v>
          </cell>
          <cell r="J1844" t="str">
            <v>SK</v>
          </cell>
          <cell r="K1844" t="str">
            <v>Shallow</v>
          </cell>
          <cell r="L1844">
            <v>2</v>
          </cell>
          <cell r="M1844">
            <v>9</v>
          </cell>
        </row>
        <row r="1845">
          <cell r="A1845">
            <v>11</v>
          </cell>
          <cell r="B1845">
            <v>2006</v>
          </cell>
          <cell r="C1845">
            <v>1</v>
          </cell>
          <cell r="D1845" t="str">
            <v>Service-Devt</v>
          </cell>
          <cell r="E1845" t="str">
            <v>Oil</v>
          </cell>
          <cell r="F1845" t="str">
            <v>Conventional</v>
          </cell>
          <cell r="G1845">
            <v>0</v>
          </cell>
          <cell r="H1845" t="str">
            <v>Service/Storage</v>
          </cell>
          <cell r="I1845" t="str">
            <v>Oil;Conventional;0;11</v>
          </cell>
          <cell r="J1845" t="str">
            <v>SK</v>
          </cell>
          <cell r="K1845" t="str">
            <v>Medium</v>
          </cell>
          <cell r="L1845">
            <v>3</v>
          </cell>
          <cell r="M1845">
            <v>20</v>
          </cell>
        </row>
        <row r="1846">
          <cell r="A1846">
            <v>11</v>
          </cell>
          <cell r="B1846">
            <v>2006</v>
          </cell>
          <cell r="C1846">
            <v>1</v>
          </cell>
          <cell r="D1846" t="str">
            <v>Service-Devt</v>
          </cell>
          <cell r="E1846" t="str">
            <v>Oil</v>
          </cell>
          <cell r="F1846" t="str">
            <v>Conventional</v>
          </cell>
          <cell r="G1846">
            <v>0</v>
          </cell>
          <cell r="H1846" t="str">
            <v>Service/Storage</v>
          </cell>
          <cell r="I1846" t="str">
            <v>Oil;Conventional;0;11</v>
          </cell>
          <cell r="J1846" t="str">
            <v>SK</v>
          </cell>
          <cell r="K1846" t="str">
            <v>Shallow</v>
          </cell>
          <cell r="L1846">
            <v>1</v>
          </cell>
          <cell r="M1846">
            <v>3</v>
          </cell>
        </row>
        <row r="1847">
          <cell r="A1847">
            <v>12</v>
          </cell>
          <cell r="B1847">
            <v>2000</v>
          </cell>
          <cell r="C1847">
            <v>1</v>
          </cell>
          <cell r="D1847" t="str">
            <v>Service-Devt</v>
          </cell>
          <cell r="E1847" t="str">
            <v>Oil</v>
          </cell>
          <cell r="F1847" t="str">
            <v>Conventional</v>
          </cell>
          <cell r="G1847">
            <v>0</v>
          </cell>
          <cell r="H1847" t="str">
            <v>Service/Storage</v>
          </cell>
          <cell r="I1847" t="str">
            <v>Oil;Conventional;0;12</v>
          </cell>
          <cell r="J1847" t="str">
            <v>SK</v>
          </cell>
          <cell r="K1847" t="str">
            <v>Medium</v>
          </cell>
          <cell r="L1847">
            <v>7</v>
          </cell>
          <cell r="M1847">
            <v>57.5</v>
          </cell>
        </row>
        <row r="1848">
          <cell r="A1848">
            <v>12</v>
          </cell>
          <cell r="B1848">
            <v>2000</v>
          </cell>
          <cell r="C1848">
            <v>1</v>
          </cell>
          <cell r="D1848" t="str">
            <v>Service-Devt</v>
          </cell>
          <cell r="E1848" t="str">
            <v>Oil</v>
          </cell>
          <cell r="F1848" t="str">
            <v>Conventional</v>
          </cell>
          <cell r="G1848">
            <v>0</v>
          </cell>
          <cell r="H1848" t="str">
            <v>Service/Storage</v>
          </cell>
          <cell r="I1848" t="str">
            <v>Oil;Conventional;0;12</v>
          </cell>
          <cell r="J1848" t="str">
            <v>SK</v>
          </cell>
          <cell r="K1848" t="str">
            <v>Shallow</v>
          </cell>
          <cell r="L1848">
            <v>13</v>
          </cell>
          <cell r="M1848">
            <v>62</v>
          </cell>
        </row>
        <row r="1849">
          <cell r="A1849">
            <v>12</v>
          </cell>
          <cell r="B1849">
            <v>2001</v>
          </cell>
          <cell r="C1849">
            <v>1</v>
          </cell>
          <cell r="D1849" t="str">
            <v>Service-Devt</v>
          </cell>
          <cell r="E1849" t="str">
            <v>Oil</v>
          </cell>
          <cell r="F1849" t="str">
            <v>Conventional</v>
          </cell>
          <cell r="G1849">
            <v>0</v>
          </cell>
          <cell r="H1849" t="str">
            <v>Service/Storage</v>
          </cell>
          <cell r="I1849" t="str">
            <v>Oil;Conventional;0;12</v>
          </cell>
          <cell r="J1849" t="str">
            <v>SK</v>
          </cell>
          <cell r="K1849" t="str">
            <v>Shallow</v>
          </cell>
          <cell r="L1849">
            <v>3</v>
          </cell>
          <cell r="M1849">
            <v>12</v>
          </cell>
        </row>
        <row r="1850">
          <cell r="A1850">
            <v>12</v>
          </cell>
          <cell r="B1850">
            <v>2002</v>
          </cell>
          <cell r="C1850">
            <v>1</v>
          </cell>
          <cell r="D1850" t="str">
            <v>Service-Devt</v>
          </cell>
          <cell r="E1850" t="str">
            <v>Oil</v>
          </cell>
          <cell r="F1850" t="str">
            <v>Conventional</v>
          </cell>
          <cell r="G1850">
            <v>0</v>
          </cell>
          <cell r="H1850" t="str">
            <v>Service/Storage</v>
          </cell>
          <cell r="I1850" t="str">
            <v>Oil;Conventional;0;12</v>
          </cell>
          <cell r="J1850" t="str">
            <v>SK</v>
          </cell>
          <cell r="K1850" t="str">
            <v>Medium</v>
          </cell>
          <cell r="L1850">
            <v>1</v>
          </cell>
          <cell r="M1850">
            <v>3</v>
          </cell>
        </row>
        <row r="1851">
          <cell r="A1851">
            <v>12</v>
          </cell>
          <cell r="B1851">
            <v>2002</v>
          </cell>
          <cell r="C1851">
            <v>1</v>
          </cell>
          <cell r="D1851" t="str">
            <v>Service-Devt</v>
          </cell>
          <cell r="E1851" t="str">
            <v>Oil</v>
          </cell>
          <cell r="F1851" t="str">
            <v>Conventional</v>
          </cell>
          <cell r="G1851">
            <v>0</v>
          </cell>
          <cell r="H1851" t="str">
            <v>Service/Storage</v>
          </cell>
          <cell r="I1851" t="str">
            <v>Oil;Conventional;0;12</v>
          </cell>
          <cell r="J1851" t="str">
            <v>SK</v>
          </cell>
          <cell r="K1851" t="str">
            <v>Shallow</v>
          </cell>
          <cell r="L1851">
            <v>2</v>
          </cell>
          <cell r="M1851">
            <v>12</v>
          </cell>
        </row>
        <row r="1852">
          <cell r="A1852">
            <v>12</v>
          </cell>
          <cell r="B1852">
            <v>2003</v>
          </cell>
          <cell r="C1852">
            <v>1</v>
          </cell>
          <cell r="D1852" t="str">
            <v>Service-Devt</v>
          </cell>
          <cell r="E1852" t="str">
            <v>Oil</v>
          </cell>
          <cell r="F1852" t="str">
            <v>Conventional</v>
          </cell>
          <cell r="G1852">
            <v>0</v>
          </cell>
          <cell r="H1852" t="str">
            <v>Service/Storage</v>
          </cell>
          <cell r="I1852" t="str">
            <v>Oil;Conventional;0;12</v>
          </cell>
          <cell r="J1852" t="str">
            <v>SK</v>
          </cell>
          <cell r="K1852" t="str">
            <v>Shallow</v>
          </cell>
          <cell r="L1852">
            <v>4</v>
          </cell>
          <cell r="M1852">
            <v>17</v>
          </cell>
        </row>
        <row r="1853">
          <cell r="A1853">
            <v>12</v>
          </cell>
          <cell r="B1853">
            <v>2004</v>
          </cell>
          <cell r="C1853">
            <v>1</v>
          </cell>
          <cell r="D1853" t="str">
            <v>Service-Devt</v>
          </cell>
          <cell r="E1853" t="str">
            <v>Oil</v>
          </cell>
          <cell r="F1853" t="str">
            <v>Conventional</v>
          </cell>
          <cell r="G1853">
            <v>0</v>
          </cell>
          <cell r="H1853" t="str">
            <v>Service/Storage</v>
          </cell>
          <cell r="I1853" t="str">
            <v>Oil;Conventional;0;12</v>
          </cell>
          <cell r="J1853" t="str">
            <v>SK</v>
          </cell>
          <cell r="K1853" t="str">
            <v>Medium</v>
          </cell>
          <cell r="L1853">
            <v>1</v>
          </cell>
          <cell r="M1853">
            <v>3</v>
          </cell>
        </row>
        <row r="1854">
          <cell r="A1854">
            <v>12</v>
          </cell>
          <cell r="B1854">
            <v>2004</v>
          </cell>
          <cell r="C1854">
            <v>1</v>
          </cell>
          <cell r="D1854" t="str">
            <v>Service-Devt</v>
          </cell>
          <cell r="E1854" t="str">
            <v>Oil</v>
          </cell>
          <cell r="F1854" t="str">
            <v>Conventional</v>
          </cell>
          <cell r="G1854">
            <v>0</v>
          </cell>
          <cell r="H1854" t="str">
            <v>Service/Storage</v>
          </cell>
          <cell r="I1854" t="str">
            <v>Oil;Conventional;0;12</v>
          </cell>
          <cell r="J1854" t="str">
            <v>SK</v>
          </cell>
          <cell r="K1854" t="str">
            <v>Shallow</v>
          </cell>
          <cell r="L1854">
            <v>5</v>
          </cell>
          <cell r="M1854">
            <v>17.5</v>
          </cell>
        </row>
        <row r="1855">
          <cell r="A1855">
            <v>12</v>
          </cell>
          <cell r="B1855">
            <v>2005</v>
          </cell>
          <cell r="C1855">
            <v>1</v>
          </cell>
          <cell r="D1855" t="str">
            <v>Service-Devt</v>
          </cell>
          <cell r="E1855" t="str">
            <v>Oil</v>
          </cell>
          <cell r="F1855" t="str">
            <v>Conventional</v>
          </cell>
          <cell r="G1855">
            <v>0</v>
          </cell>
          <cell r="H1855" t="str">
            <v>Service/Storage</v>
          </cell>
          <cell r="I1855" t="str">
            <v>Oil;Conventional;0;12</v>
          </cell>
          <cell r="J1855" t="str">
            <v>SK</v>
          </cell>
          <cell r="K1855" t="str">
            <v>Deep</v>
          </cell>
          <cell r="L1855">
            <v>1</v>
          </cell>
          <cell r="M1855">
            <v>1.6666669999999999</v>
          </cell>
        </row>
        <row r="1856">
          <cell r="A1856">
            <v>12</v>
          </cell>
          <cell r="B1856">
            <v>2005</v>
          </cell>
          <cell r="C1856">
            <v>1</v>
          </cell>
          <cell r="D1856" t="str">
            <v>Service-Devt</v>
          </cell>
          <cell r="E1856" t="str">
            <v>Oil</v>
          </cell>
          <cell r="F1856" t="str">
            <v>Conventional</v>
          </cell>
          <cell r="G1856">
            <v>0</v>
          </cell>
          <cell r="H1856" t="str">
            <v>Service/Storage</v>
          </cell>
          <cell r="I1856" t="str">
            <v>Oil;Conventional;0;12</v>
          </cell>
          <cell r="J1856" t="str">
            <v>SK</v>
          </cell>
          <cell r="K1856" t="str">
            <v>Medium</v>
          </cell>
          <cell r="L1856">
            <v>2</v>
          </cell>
          <cell r="M1856">
            <v>11</v>
          </cell>
        </row>
        <row r="1857">
          <cell r="A1857">
            <v>12</v>
          </cell>
          <cell r="B1857">
            <v>2005</v>
          </cell>
          <cell r="C1857">
            <v>1</v>
          </cell>
          <cell r="D1857" t="str">
            <v>Service-Devt</v>
          </cell>
          <cell r="E1857" t="str">
            <v>Oil</v>
          </cell>
          <cell r="F1857" t="str">
            <v>Conventional</v>
          </cell>
          <cell r="G1857">
            <v>0</v>
          </cell>
          <cell r="H1857" t="str">
            <v>Service/Storage</v>
          </cell>
          <cell r="I1857" t="str">
            <v>Oil;Conventional;0;12</v>
          </cell>
          <cell r="J1857" t="str">
            <v>SK</v>
          </cell>
          <cell r="K1857" t="str">
            <v>Shallow</v>
          </cell>
          <cell r="L1857">
            <v>2</v>
          </cell>
          <cell r="M1857">
            <v>9</v>
          </cell>
        </row>
        <row r="1858">
          <cell r="A1858">
            <v>12</v>
          </cell>
          <cell r="B1858">
            <v>2006</v>
          </cell>
          <cell r="C1858">
            <v>1</v>
          </cell>
          <cell r="D1858" t="str">
            <v>Service-Devt</v>
          </cell>
          <cell r="E1858" t="str">
            <v>Oil</v>
          </cell>
          <cell r="F1858" t="str">
            <v>Conventional</v>
          </cell>
          <cell r="G1858">
            <v>0</v>
          </cell>
          <cell r="H1858" t="str">
            <v>Service/Storage</v>
          </cell>
          <cell r="I1858" t="str">
            <v>Oil;Conventional;0;12</v>
          </cell>
          <cell r="J1858" t="str">
            <v>SK</v>
          </cell>
          <cell r="K1858" t="str">
            <v>Medium</v>
          </cell>
          <cell r="L1858">
            <v>2</v>
          </cell>
          <cell r="M1858">
            <v>7</v>
          </cell>
        </row>
        <row r="1859">
          <cell r="A1859">
            <v>12</v>
          </cell>
          <cell r="B1859">
            <v>2006</v>
          </cell>
          <cell r="C1859">
            <v>1</v>
          </cell>
          <cell r="D1859" t="str">
            <v>Service-Devt</v>
          </cell>
          <cell r="E1859" t="str">
            <v>Oil</v>
          </cell>
          <cell r="F1859" t="str">
            <v>Conventional</v>
          </cell>
          <cell r="G1859">
            <v>0</v>
          </cell>
          <cell r="H1859" t="str">
            <v>Service/Storage</v>
          </cell>
          <cell r="I1859" t="str">
            <v>Oil;Conventional;0;12</v>
          </cell>
          <cell r="J1859" t="str">
            <v>SK</v>
          </cell>
          <cell r="K1859" t="str">
            <v>Shallow</v>
          </cell>
          <cell r="L1859">
            <v>2</v>
          </cell>
          <cell r="M1859">
            <v>8</v>
          </cell>
        </row>
        <row r="1860">
          <cell r="A1860">
            <v>12</v>
          </cell>
          <cell r="B1860">
            <v>2007</v>
          </cell>
          <cell r="C1860">
            <v>1</v>
          </cell>
          <cell r="D1860" t="str">
            <v>Service-Devt</v>
          </cell>
          <cell r="E1860" t="str">
            <v>Oil</v>
          </cell>
          <cell r="F1860" t="str">
            <v>Conventional</v>
          </cell>
          <cell r="G1860">
            <v>0</v>
          </cell>
          <cell r="H1860" t="str">
            <v>Service/Storage</v>
          </cell>
          <cell r="I1860" t="str">
            <v>Oil;Conventional;0;12</v>
          </cell>
          <cell r="J1860" t="str">
            <v>SK</v>
          </cell>
          <cell r="K1860" t="str">
            <v>Shallow</v>
          </cell>
          <cell r="L1860">
            <v>1</v>
          </cell>
          <cell r="M1860">
            <v>2</v>
          </cell>
        </row>
        <row r="1861">
          <cell r="A1861">
            <v>13</v>
          </cell>
          <cell r="B1861">
            <v>2000</v>
          </cell>
          <cell r="C1861">
            <v>1</v>
          </cell>
          <cell r="D1861" t="str">
            <v>Service-Devt</v>
          </cell>
          <cell r="E1861" t="str">
            <v>Oil</v>
          </cell>
          <cell r="F1861" t="str">
            <v>Conventional</v>
          </cell>
          <cell r="G1861">
            <v>0</v>
          </cell>
          <cell r="H1861" t="str">
            <v>Service/Storage</v>
          </cell>
          <cell r="I1861" t="str">
            <v>Oil;Conventional;0;13</v>
          </cell>
          <cell r="J1861" t="str">
            <v>SK</v>
          </cell>
          <cell r="K1861" t="str">
            <v>Deep</v>
          </cell>
          <cell r="L1861">
            <v>14</v>
          </cell>
          <cell r="M1861">
            <v>144.5</v>
          </cell>
        </row>
        <row r="1862">
          <cell r="A1862">
            <v>13</v>
          </cell>
          <cell r="B1862">
            <v>2000</v>
          </cell>
          <cell r="C1862">
            <v>1</v>
          </cell>
          <cell r="D1862" t="str">
            <v>Service-Devt</v>
          </cell>
          <cell r="E1862" t="str">
            <v>Oil</v>
          </cell>
          <cell r="F1862" t="str">
            <v>Conventional</v>
          </cell>
          <cell r="G1862">
            <v>0</v>
          </cell>
          <cell r="H1862" t="str">
            <v>Service/Storage</v>
          </cell>
          <cell r="I1862" t="str">
            <v>Oil;Conventional;0;13</v>
          </cell>
          <cell r="J1862" t="str">
            <v>SK</v>
          </cell>
          <cell r="K1862" t="str">
            <v>MEDIUM</v>
          </cell>
          <cell r="L1862">
            <v>28</v>
          </cell>
          <cell r="M1862">
            <v>321</v>
          </cell>
        </row>
        <row r="1863">
          <cell r="A1863">
            <v>13</v>
          </cell>
          <cell r="B1863">
            <v>2000</v>
          </cell>
          <cell r="C1863">
            <v>1</v>
          </cell>
          <cell r="D1863" t="str">
            <v>Service-Devt</v>
          </cell>
          <cell r="E1863" t="str">
            <v>Oil</v>
          </cell>
          <cell r="F1863" t="str">
            <v>Conventional</v>
          </cell>
          <cell r="G1863">
            <v>0</v>
          </cell>
          <cell r="H1863" t="str">
            <v>Service/Storage</v>
          </cell>
          <cell r="I1863" t="str">
            <v>Oil;Conventional;0;13</v>
          </cell>
          <cell r="J1863" t="str">
            <v>SK</v>
          </cell>
          <cell r="K1863" t="str">
            <v>Shallow</v>
          </cell>
          <cell r="L1863">
            <v>3</v>
          </cell>
          <cell r="M1863">
            <v>18</v>
          </cell>
        </row>
        <row r="1864">
          <cell r="A1864">
            <v>13</v>
          </cell>
          <cell r="B1864">
            <v>2000</v>
          </cell>
          <cell r="C1864">
            <v>2</v>
          </cell>
          <cell r="D1864" t="str">
            <v>Service-Devt</v>
          </cell>
          <cell r="E1864" t="str">
            <v>Oil</v>
          </cell>
          <cell r="F1864" t="str">
            <v>Conventional</v>
          </cell>
          <cell r="G1864">
            <v>0</v>
          </cell>
          <cell r="H1864" t="str">
            <v>Service/Storage</v>
          </cell>
          <cell r="I1864" t="str">
            <v>Oil;Conventional;0;13</v>
          </cell>
          <cell r="J1864" t="str">
            <v>SK</v>
          </cell>
          <cell r="K1864" t="str">
            <v>Deep</v>
          </cell>
          <cell r="L1864">
            <v>1</v>
          </cell>
          <cell r="M1864">
            <v>2</v>
          </cell>
        </row>
        <row r="1865">
          <cell r="A1865">
            <v>13</v>
          </cell>
          <cell r="B1865">
            <v>2001</v>
          </cell>
          <cell r="C1865">
            <v>1</v>
          </cell>
          <cell r="D1865" t="str">
            <v>Service-Devt</v>
          </cell>
          <cell r="E1865" t="str">
            <v>Oil</v>
          </cell>
          <cell r="F1865" t="str">
            <v>Conventional</v>
          </cell>
          <cell r="G1865">
            <v>0</v>
          </cell>
          <cell r="H1865" t="str">
            <v>Service/Storage</v>
          </cell>
          <cell r="I1865" t="str">
            <v>Oil;Conventional;0;13</v>
          </cell>
          <cell r="J1865" t="str">
            <v>SK</v>
          </cell>
          <cell r="K1865" t="str">
            <v>MEDIUM</v>
          </cell>
          <cell r="L1865">
            <v>25</v>
          </cell>
          <cell r="M1865">
            <v>290.5</v>
          </cell>
        </row>
        <row r="1866">
          <cell r="A1866">
            <v>13</v>
          </cell>
          <cell r="B1866">
            <v>2001</v>
          </cell>
          <cell r="C1866">
            <v>1</v>
          </cell>
          <cell r="D1866" t="str">
            <v>Service-Devt</v>
          </cell>
          <cell r="E1866" t="str">
            <v>Oil</v>
          </cell>
          <cell r="F1866" t="str">
            <v>Conventional</v>
          </cell>
          <cell r="G1866">
            <v>0</v>
          </cell>
          <cell r="H1866" t="str">
            <v>Service/Storage</v>
          </cell>
          <cell r="I1866" t="str">
            <v>Oil;Conventional;0;13</v>
          </cell>
          <cell r="J1866" t="str">
            <v>SK</v>
          </cell>
          <cell r="K1866" t="str">
            <v>Shallow</v>
          </cell>
          <cell r="L1866">
            <v>1</v>
          </cell>
          <cell r="M1866">
            <v>5</v>
          </cell>
        </row>
        <row r="1867">
          <cell r="A1867">
            <v>13</v>
          </cell>
          <cell r="B1867">
            <v>2002</v>
          </cell>
          <cell r="C1867">
            <v>1</v>
          </cell>
          <cell r="D1867" t="str">
            <v>Service-Devt</v>
          </cell>
          <cell r="E1867" t="str">
            <v>Oil</v>
          </cell>
          <cell r="F1867" t="str">
            <v>Conventional</v>
          </cell>
          <cell r="G1867">
            <v>0</v>
          </cell>
          <cell r="H1867" t="str">
            <v>Service/Storage</v>
          </cell>
          <cell r="I1867" t="str">
            <v>Oil;Conventional;0;13</v>
          </cell>
          <cell r="J1867" t="str">
            <v>SK</v>
          </cell>
          <cell r="K1867" t="str">
            <v>DEEP</v>
          </cell>
          <cell r="L1867">
            <v>4</v>
          </cell>
          <cell r="M1867">
            <v>57</v>
          </cell>
        </row>
        <row r="1868">
          <cell r="A1868">
            <v>13</v>
          </cell>
          <cell r="B1868">
            <v>2002</v>
          </cell>
          <cell r="C1868">
            <v>1</v>
          </cell>
          <cell r="D1868" t="str">
            <v>Service-Devt</v>
          </cell>
          <cell r="E1868" t="str">
            <v>Oil</v>
          </cell>
          <cell r="F1868" t="str">
            <v>Conventional</v>
          </cell>
          <cell r="G1868">
            <v>0</v>
          </cell>
          <cell r="H1868" t="str">
            <v>Service/Storage</v>
          </cell>
          <cell r="I1868" t="str">
            <v>Oil;Conventional;0;13</v>
          </cell>
          <cell r="J1868" t="str">
            <v>SK</v>
          </cell>
          <cell r="K1868" t="str">
            <v>Medium</v>
          </cell>
          <cell r="L1868">
            <v>20</v>
          </cell>
          <cell r="M1868">
            <v>150</v>
          </cell>
        </row>
        <row r="1869">
          <cell r="A1869">
            <v>13</v>
          </cell>
          <cell r="B1869">
            <v>2002</v>
          </cell>
          <cell r="C1869">
            <v>1</v>
          </cell>
          <cell r="D1869" t="str">
            <v>Service-Devt</v>
          </cell>
          <cell r="E1869" t="str">
            <v>Oil</v>
          </cell>
          <cell r="F1869" t="str">
            <v>Conventional</v>
          </cell>
          <cell r="G1869">
            <v>0</v>
          </cell>
          <cell r="H1869" t="str">
            <v>Service/Storage</v>
          </cell>
          <cell r="I1869" t="str">
            <v>Oil;Conventional;0;13</v>
          </cell>
          <cell r="J1869" t="str">
            <v>SK</v>
          </cell>
          <cell r="K1869" t="str">
            <v>Shallow</v>
          </cell>
          <cell r="L1869">
            <v>1</v>
          </cell>
          <cell r="M1869">
            <v>3</v>
          </cell>
        </row>
        <row r="1870">
          <cell r="A1870">
            <v>13</v>
          </cell>
          <cell r="B1870">
            <v>2003</v>
          </cell>
          <cell r="C1870">
            <v>1</v>
          </cell>
          <cell r="D1870" t="str">
            <v>Service-Devt</v>
          </cell>
          <cell r="E1870" t="str">
            <v>Oil</v>
          </cell>
          <cell r="F1870" t="str">
            <v>Conventional</v>
          </cell>
          <cell r="G1870">
            <v>0</v>
          </cell>
          <cell r="H1870" t="str">
            <v>Service/Storage</v>
          </cell>
          <cell r="I1870" t="str">
            <v>Oil;Conventional;0;13</v>
          </cell>
          <cell r="J1870" t="str">
            <v>SK</v>
          </cell>
          <cell r="K1870" t="str">
            <v>Deep</v>
          </cell>
          <cell r="L1870">
            <v>2</v>
          </cell>
          <cell r="M1870">
            <v>18</v>
          </cell>
        </row>
        <row r="1871">
          <cell r="A1871">
            <v>13</v>
          </cell>
          <cell r="B1871">
            <v>2003</v>
          </cell>
          <cell r="C1871">
            <v>1</v>
          </cell>
          <cell r="D1871" t="str">
            <v>Service-Devt</v>
          </cell>
          <cell r="E1871" t="str">
            <v>Oil</v>
          </cell>
          <cell r="F1871" t="str">
            <v>Conventional</v>
          </cell>
          <cell r="G1871">
            <v>0</v>
          </cell>
          <cell r="H1871" t="str">
            <v>Service/Storage</v>
          </cell>
          <cell r="I1871" t="str">
            <v>Oil;Conventional;0;13</v>
          </cell>
          <cell r="J1871" t="str">
            <v>SK</v>
          </cell>
          <cell r="K1871" t="str">
            <v>Medium</v>
          </cell>
          <cell r="L1871">
            <v>16</v>
          </cell>
          <cell r="M1871">
            <v>180</v>
          </cell>
        </row>
        <row r="1872">
          <cell r="A1872">
            <v>13</v>
          </cell>
          <cell r="B1872">
            <v>2003</v>
          </cell>
          <cell r="C1872">
            <v>1</v>
          </cell>
          <cell r="D1872" t="str">
            <v>Service-Devt</v>
          </cell>
          <cell r="E1872" t="str">
            <v>Oil</v>
          </cell>
          <cell r="F1872" t="str">
            <v>Conventional</v>
          </cell>
          <cell r="G1872">
            <v>0</v>
          </cell>
          <cell r="H1872" t="str">
            <v>Service/Storage</v>
          </cell>
          <cell r="I1872" t="str">
            <v>Oil;Conventional;0;13</v>
          </cell>
          <cell r="J1872" t="str">
            <v>SK</v>
          </cell>
          <cell r="K1872" t="str">
            <v>SHALLOW</v>
          </cell>
          <cell r="L1872">
            <v>1</v>
          </cell>
          <cell r="M1872">
            <v>7</v>
          </cell>
        </row>
        <row r="1873">
          <cell r="A1873">
            <v>13</v>
          </cell>
          <cell r="B1873">
            <v>2003</v>
          </cell>
          <cell r="C1873">
            <v>2</v>
          </cell>
          <cell r="D1873" t="str">
            <v>Service-Devt</v>
          </cell>
          <cell r="E1873" t="str">
            <v>Oil</v>
          </cell>
          <cell r="F1873" t="str">
            <v>Conventional</v>
          </cell>
          <cell r="G1873">
            <v>0</v>
          </cell>
          <cell r="H1873" t="str">
            <v>Service/Storage</v>
          </cell>
          <cell r="I1873" t="str">
            <v>Oil;Conventional;0;13</v>
          </cell>
          <cell r="J1873" t="str">
            <v>SK</v>
          </cell>
          <cell r="K1873" t="str">
            <v>Medium</v>
          </cell>
          <cell r="L1873">
            <v>1</v>
          </cell>
          <cell r="M1873">
            <v>4</v>
          </cell>
        </row>
        <row r="1874">
          <cell r="A1874">
            <v>13</v>
          </cell>
          <cell r="B1874">
            <v>2004</v>
          </cell>
          <cell r="C1874">
            <v>1</v>
          </cell>
          <cell r="D1874" t="str">
            <v>Service-Devt</v>
          </cell>
          <cell r="E1874" t="str">
            <v>Oil</v>
          </cell>
          <cell r="F1874" t="str">
            <v>Conventional</v>
          </cell>
          <cell r="G1874">
            <v>0</v>
          </cell>
          <cell r="H1874" t="str">
            <v>Service/Storage</v>
          </cell>
          <cell r="I1874" t="str">
            <v>Oil;Conventional;0;13</v>
          </cell>
          <cell r="J1874" t="str">
            <v>SK</v>
          </cell>
          <cell r="K1874" t="str">
            <v>Deep</v>
          </cell>
          <cell r="L1874">
            <v>1</v>
          </cell>
          <cell r="M1874">
            <v>8</v>
          </cell>
        </row>
        <row r="1875">
          <cell r="A1875">
            <v>13</v>
          </cell>
          <cell r="B1875">
            <v>2004</v>
          </cell>
          <cell r="C1875">
            <v>1</v>
          </cell>
          <cell r="D1875" t="str">
            <v>Service-Devt</v>
          </cell>
          <cell r="E1875" t="str">
            <v>Oil</v>
          </cell>
          <cell r="F1875" t="str">
            <v>Conventional</v>
          </cell>
          <cell r="G1875">
            <v>0</v>
          </cell>
          <cell r="H1875" t="str">
            <v>Service/Storage</v>
          </cell>
          <cell r="I1875" t="str">
            <v>Oil;Conventional;0;13</v>
          </cell>
          <cell r="J1875" t="str">
            <v>SK</v>
          </cell>
          <cell r="K1875" t="str">
            <v>Medium</v>
          </cell>
          <cell r="L1875">
            <v>8</v>
          </cell>
          <cell r="M1875">
            <v>54</v>
          </cell>
        </row>
        <row r="1876">
          <cell r="A1876">
            <v>13</v>
          </cell>
          <cell r="B1876">
            <v>2004</v>
          </cell>
          <cell r="C1876">
            <v>1</v>
          </cell>
          <cell r="D1876" t="str">
            <v>Service-Devt</v>
          </cell>
          <cell r="E1876" t="str">
            <v>Oil</v>
          </cell>
          <cell r="F1876" t="str">
            <v>Conventional</v>
          </cell>
          <cell r="G1876">
            <v>0</v>
          </cell>
          <cell r="H1876" t="str">
            <v>Service/Storage</v>
          </cell>
          <cell r="I1876" t="str">
            <v>Oil;Conventional;0;13</v>
          </cell>
          <cell r="J1876" t="str">
            <v>SK</v>
          </cell>
          <cell r="K1876" t="str">
            <v>Shallow</v>
          </cell>
          <cell r="L1876">
            <v>1</v>
          </cell>
          <cell r="M1876">
            <v>2</v>
          </cell>
        </row>
        <row r="1877">
          <cell r="A1877">
            <v>13</v>
          </cell>
          <cell r="B1877">
            <v>2005</v>
          </cell>
          <cell r="C1877">
            <v>1</v>
          </cell>
          <cell r="D1877" t="str">
            <v>Service-Devt</v>
          </cell>
          <cell r="E1877" t="str">
            <v>Oil</v>
          </cell>
          <cell r="F1877" t="str">
            <v>Conventional</v>
          </cell>
          <cell r="G1877">
            <v>0</v>
          </cell>
          <cell r="H1877" t="str">
            <v>Service/Storage</v>
          </cell>
          <cell r="I1877" t="str">
            <v>Oil;Conventional;0;13</v>
          </cell>
          <cell r="J1877" t="str">
            <v>SK</v>
          </cell>
          <cell r="K1877" t="str">
            <v>Deep</v>
          </cell>
          <cell r="L1877">
            <v>3</v>
          </cell>
          <cell r="M1877">
            <v>12</v>
          </cell>
        </row>
        <row r="1878">
          <cell r="A1878">
            <v>13</v>
          </cell>
          <cell r="B1878">
            <v>2005</v>
          </cell>
          <cell r="C1878">
            <v>1</v>
          </cell>
          <cell r="D1878" t="str">
            <v>Service-Devt</v>
          </cell>
          <cell r="E1878" t="str">
            <v>Oil</v>
          </cell>
          <cell r="F1878" t="str">
            <v>Conventional</v>
          </cell>
          <cell r="G1878">
            <v>0</v>
          </cell>
          <cell r="H1878" t="str">
            <v>Service/Storage</v>
          </cell>
          <cell r="I1878" t="str">
            <v>Oil;Conventional;0;13</v>
          </cell>
          <cell r="J1878" t="str">
            <v>SK</v>
          </cell>
          <cell r="K1878" t="str">
            <v>Medium</v>
          </cell>
          <cell r="L1878">
            <v>26</v>
          </cell>
          <cell r="M1878">
            <v>151</v>
          </cell>
        </row>
        <row r="1879">
          <cell r="A1879">
            <v>13</v>
          </cell>
          <cell r="B1879">
            <v>2005</v>
          </cell>
          <cell r="C1879">
            <v>1</v>
          </cell>
          <cell r="D1879" t="str">
            <v>Service-Devt</v>
          </cell>
          <cell r="E1879" t="str">
            <v>Oil</v>
          </cell>
          <cell r="F1879" t="str">
            <v>Conventional</v>
          </cell>
          <cell r="G1879">
            <v>0</v>
          </cell>
          <cell r="H1879" t="str">
            <v>Service/Storage</v>
          </cell>
          <cell r="I1879" t="str">
            <v>Oil;Conventional;0;13</v>
          </cell>
          <cell r="J1879" t="str">
            <v>SK</v>
          </cell>
          <cell r="K1879" t="str">
            <v>Shallow</v>
          </cell>
          <cell r="L1879">
            <v>3</v>
          </cell>
          <cell r="M1879">
            <v>14</v>
          </cell>
        </row>
        <row r="1880">
          <cell r="A1880">
            <v>13</v>
          </cell>
          <cell r="B1880">
            <v>2006</v>
          </cell>
          <cell r="C1880">
            <v>1</v>
          </cell>
          <cell r="D1880" t="str">
            <v>Service-Devt</v>
          </cell>
          <cell r="E1880" t="str">
            <v>Oil</v>
          </cell>
          <cell r="F1880" t="str">
            <v>Conventional</v>
          </cell>
          <cell r="G1880">
            <v>0</v>
          </cell>
          <cell r="H1880" t="str">
            <v>Service/Storage</v>
          </cell>
          <cell r="I1880" t="str">
            <v>Oil;Conventional;0;13</v>
          </cell>
          <cell r="J1880" t="str">
            <v>SK</v>
          </cell>
          <cell r="K1880" t="str">
            <v>Deep</v>
          </cell>
          <cell r="L1880">
            <v>6</v>
          </cell>
          <cell r="M1880">
            <v>32</v>
          </cell>
        </row>
        <row r="1881">
          <cell r="A1881">
            <v>13</v>
          </cell>
          <cell r="B1881">
            <v>2006</v>
          </cell>
          <cell r="C1881">
            <v>1</v>
          </cell>
          <cell r="D1881" t="str">
            <v>Service-Devt</v>
          </cell>
          <cell r="E1881" t="str">
            <v>Oil</v>
          </cell>
          <cell r="F1881" t="str">
            <v>Conventional</v>
          </cell>
          <cell r="G1881">
            <v>0</v>
          </cell>
          <cell r="H1881" t="str">
            <v>Service/Storage</v>
          </cell>
          <cell r="I1881" t="str">
            <v>Oil;Conventional;0;13</v>
          </cell>
          <cell r="J1881" t="str">
            <v>SK</v>
          </cell>
          <cell r="K1881" t="str">
            <v>Medium</v>
          </cell>
          <cell r="L1881">
            <v>7</v>
          </cell>
          <cell r="M1881">
            <v>62</v>
          </cell>
        </row>
        <row r="1882">
          <cell r="A1882">
            <v>13</v>
          </cell>
          <cell r="B1882">
            <v>2006</v>
          </cell>
          <cell r="C1882">
            <v>2</v>
          </cell>
          <cell r="D1882" t="str">
            <v>Service-Devt</v>
          </cell>
          <cell r="E1882" t="str">
            <v>Oil</v>
          </cell>
          <cell r="F1882" t="str">
            <v>Conventional</v>
          </cell>
          <cell r="G1882">
            <v>0</v>
          </cell>
          <cell r="H1882" t="str">
            <v>Service/Storage</v>
          </cell>
          <cell r="I1882" t="str">
            <v>Oil;Conventional;0;13</v>
          </cell>
          <cell r="J1882" t="str">
            <v>SK</v>
          </cell>
          <cell r="K1882" t="str">
            <v>Medium</v>
          </cell>
          <cell r="L1882">
            <v>2</v>
          </cell>
          <cell r="M1882">
            <v>18</v>
          </cell>
        </row>
        <row r="1883">
          <cell r="A1883">
            <v>13</v>
          </cell>
          <cell r="B1883">
            <v>2007</v>
          </cell>
          <cell r="C1883">
            <v>1</v>
          </cell>
          <cell r="D1883" t="str">
            <v>Service-Devt</v>
          </cell>
          <cell r="E1883" t="str">
            <v>Oil</v>
          </cell>
          <cell r="F1883" t="str">
            <v>Conventional</v>
          </cell>
          <cell r="G1883">
            <v>0</v>
          </cell>
          <cell r="H1883" t="str">
            <v>Service/Storage</v>
          </cell>
          <cell r="I1883" t="str">
            <v>Oil;Conventional;0;13</v>
          </cell>
          <cell r="J1883" t="str">
            <v>SK</v>
          </cell>
          <cell r="K1883" t="str">
            <v>Medium</v>
          </cell>
          <cell r="L1883">
            <v>5</v>
          </cell>
          <cell r="M1883">
            <v>31</v>
          </cell>
        </row>
        <row r="1884">
          <cell r="A1884">
            <v>4</v>
          </cell>
          <cell r="B1884">
            <v>2002</v>
          </cell>
          <cell r="C1884">
            <v>1</v>
          </cell>
          <cell r="D1884" t="str">
            <v>Service-Devt</v>
          </cell>
          <cell r="E1884" t="str">
            <v>Oil</v>
          </cell>
          <cell r="F1884" t="str">
            <v>Oil Sands</v>
          </cell>
          <cell r="G1884">
            <v>0</v>
          </cell>
          <cell r="H1884" t="str">
            <v>Service/Storage</v>
          </cell>
          <cell r="I1884" t="str">
            <v>Oil;Oil Sands;0;4</v>
          </cell>
          <cell r="J1884" t="str">
            <v>AB</v>
          </cell>
          <cell r="K1884" t="str">
            <v>Medium</v>
          </cell>
          <cell r="L1884">
            <v>1</v>
          </cell>
          <cell r="M1884">
            <v>4</v>
          </cell>
        </row>
        <row r="1885">
          <cell r="A1885">
            <v>4</v>
          </cell>
          <cell r="B1885">
            <v>2005</v>
          </cell>
          <cell r="C1885">
            <v>1</v>
          </cell>
          <cell r="D1885" t="str">
            <v>Service-Devt</v>
          </cell>
          <cell r="E1885" t="str">
            <v>Oil</v>
          </cell>
          <cell r="F1885" t="str">
            <v>Oil Sands</v>
          </cell>
          <cell r="G1885">
            <v>0</v>
          </cell>
          <cell r="H1885" t="str">
            <v>Service/Storage</v>
          </cell>
          <cell r="I1885" t="str">
            <v>Oil;Oil Sands;0;4</v>
          </cell>
          <cell r="J1885" t="str">
            <v>AB</v>
          </cell>
          <cell r="K1885" t="str">
            <v>Medium</v>
          </cell>
          <cell r="L1885">
            <v>23</v>
          </cell>
          <cell r="M1885">
            <v>259.58994899999999</v>
          </cell>
        </row>
        <row r="1886">
          <cell r="A1886">
            <v>4</v>
          </cell>
          <cell r="B1886">
            <v>2006</v>
          </cell>
          <cell r="C1886">
            <v>1</v>
          </cell>
          <cell r="D1886" t="str">
            <v>Service-Devt</v>
          </cell>
          <cell r="E1886" t="str">
            <v>Oil</v>
          </cell>
          <cell r="F1886" t="str">
            <v>Oil Sands</v>
          </cell>
          <cell r="G1886">
            <v>0</v>
          </cell>
          <cell r="H1886" t="str">
            <v>Service/Storage</v>
          </cell>
          <cell r="I1886" t="str">
            <v>Oil;Oil Sands;0;4</v>
          </cell>
          <cell r="J1886" t="str">
            <v>AB</v>
          </cell>
          <cell r="K1886" t="str">
            <v>Medium</v>
          </cell>
          <cell r="L1886">
            <v>8</v>
          </cell>
          <cell r="M1886">
            <v>103.06265700000002</v>
          </cell>
        </row>
        <row r="1887">
          <cell r="A1887">
            <v>4</v>
          </cell>
          <cell r="B1887">
            <v>2006</v>
          </cell>
          <cell r="C1887">
            <v>1</v>
          </cell>
          <cell r="D1887" t="str">
            <v>Service-Devt</v>
          </cell>
          <cell r="E1887" t="str">
            <v>Oil</v>
          </cell>
          <cell r="F1887" t="str">
            <v>Oil Sands</v>
          </cell>
          <cell r="G1887">
            <v>0</v>
          </cell>
          <cell r="H1887" t="str">
            <v>Service/Storage</v>
          </cell>
          <cell r="I1887" t="str">
            <v>Oil;Oil Sands;0;4</v>
          </cell>
          <cell r="J1887" t="str">
            <v>AB</v>
          </cell>
          <cell r="K1887" t="str">
            <v>Shallow</v>
          </cell>
          <cell r="L1887">
            <v>2</v>
          </cell>
          <cell r="M1887">
            <v>5.5</v>
          </cell>
        </row>
        <row r="1888">
          <cell r="A1888">
            <v>6</v>
          </cell>
          <cell r="B1888">
            <v>2000</v>
          </cell>
          <cell r="C1888">
            <v>1</v>
          </cell>
          <cell r="D1888" t="str">
            <v>Service-Devt</v>
          </cell>
          <cell r="E1888" t="str">
            <v>Oil</v>
          </cell>
          <cell r="F1888" t="str">
            <v>Oil Sands</v>
          </cell>
          <cell r="G1888">
            <v>0</v>
          </cell>
          <cell r="H1888" t="str">
            <v>Service/Storage</v>
          </cell>
          <cell r="I1888" t="str">
            <v>Oil;Oil Sands;0;6</v>
          </cell>
          <cell r="J1888" t="str">
            <v>AB</v>
          </cell>
          <cell r="K1888" t="str">
            <v>Medium</v>
          </cell>
          <cell r="L1888">
            <v>7</v>
          </cell>
          <cell r="M1888">
            <v>61.666657999999998</v>
          </cell>
        </row>
        <row r="1889">
          <cell r="A1889">
            <v>6</v>
          </cell>
          <cell r="B1889">
            <v>2001</v>
          </cell>
          <cell r="C1889">
            <v>1</v>
          </cell>
          <cell r="D1889" t="str">
            <v>Service-Devt</v>
          </cell>
          <cell r="E1889" t="str">
            <v>Oil</v>
          </cell>
          <cell r="F1889" t="str">
            <v>Oil Sands</v>
          </cell>
          <cell r="G1889">
            <v>0</v>
          </cell>
          <cell r="H1889" t="str">
            <v>Service/Storage</v>
          </cell>
          <cell r="I1889" t="str">
            <v>Oil;Oil Sands;0;6</v>
          </cell>
          <cell r="J1889" t="str">
            <v>AB</v>
          </cell>
          <cell r="K1889" t="str">
            <v>Medium</v>
          </cell>
          <cell r="L1889">
            <v>17</v>
          </cell>
          <cell r="M1889">
            <v>193.50862999999995</v>
          </cell>
        </row>
        <row r="1890">
          <cell r="A1890">
            <v>6</v>
          </cell>
          <cell r="B1890">
            <v>2001</v>
          </cell>
          <cell r="C1890">
            <v>1</v>
          </cell>
          <cell r="D1890" t="str">
            <v>Service-Devt</v>
          </cell>
          <cell r="E1890" t="str">
            <v>Oil</v>
          </cell>
          <cell r="F1890" t="str">
            <v>Oil Sands</v>
          </cell>
          <cell r="G1890">
            <v>0</v>
          </cell>
          <cell r="H1890" t="str">
            <v>Service/Storage</v>
          </cell>
          <cell r="I1890" t="str">
            <v>Oil;Oil Sands;0;6</v>
          </cell>
          <cell r="J1890" t="str">
            <v>AB</v>
          </cell>
          <cell r="K1890" t="str">
            <v>Shallow</v>
          </cell>
          <cell r="L1890">
            <v>1</v>
          </cell>
          <cell r="M1890">
            <v>5</v>
          </cell>
        </row>
        <row r="1891">
          <cell r="A1891">
            <v>6</v>
          </cell>
          <cell r="B1891">
            <v>2002</v>
          </cell>
          <cell r="C1891">
            <v>1</v>
          </cell>
          <cell r="D1891" t="str">
            <v>Service-Devt</v>
          </cell>
          <cell r="E1891" t="str">
            <v>Oil</v>
          </cell>
          <cell r="F1891" t="str">
            <v>Oil Sands</v>
          </cell>
          <cell r="G1891">
            <v>0</v>
          </cell>
          <cell r="H1891" t="str">
            <v>Service/Storage</v>
          </cell>
          <cell r="I1891" t="str">
            <v>Oil;Oil Sands;0;6</v>
          </cell>
          <cell r="J1891" t="str">
            <v>AB</v>
          </cell>
          <cell r="K1891" t="str">
            <v>Shallow</v>
          </cell>
          <cell r="L1891">
            <v>2</v>
          </cell>
          <cell r="M1891">
            <v>5</v>
          </cell>
        </row>
        <row r="1892">
          <cell r="A1892">
            <v>6</v>
          </cell>
          <cell r="B1892">
            <v>2003</v>
          </cell>
          <cell r="C1892">
            <v>1</v>
          </cell>
          <cell r="D1892" t="str">
            <v>Service-Devt</v>
          </cell>
          <cell r="E1892" t="str">
            <v>Oil</v>
          </cell>
          <cell r="F1892" t="str">
            <v>Oil Sands</v>
          </cell>
          <cell r="G1892">
            <v>0</v>
          </cell>
          <cell r="H1892" t="str">
            <v>Service/Storage</v>
          </cell>
          <cell r="I1892" t="str">
            <v>Oil;Oil Sands;0;6</v>
          </cell>
          <cell r="J1892" t="str">
            <v>AB</v>
          </cell>
          <cell r="K1892" t="str">
            <v>Medium</v>
          </cell>
          <cell r="L1892">
            <v>3</v>
          </cell>
          <cell r="M1892">
            <v>31</v>
          </cell>
        </row>
        <row r="1893">
          <cell r="A1893">
            <v>6</v>
          </cell>
          <cell r="B1893">
            <v>2004</v>
          </cell>
          <cell r="C1893">
            <v>1</v>
          </cell>
          <cell r="D1893" t="str">
            <v>Service-Devt</v>
          </cell>
          <cell r="E1893" t="str">
            <v>Oil</v>
          </cell>
          <cell r="F1893" t="str">
            <v>Oil Sands</v>
          </cell>
          <cell r="G1893">
            <v>0</v>
          </cell>
          <cell r="H1893" t="str">
            <v>Service/Storage</v>
          </cell>
          <cell r="I1893" t="str">
            <v>Oil;Oil Sands;0;6</v>
          </cell>
          <cell r="J1893" t="str">
            <v>AB</v>
          </cell>
          <cell r="K1893" t="str">
            <v>Medium</v>
          </cell>
          <cell r="L1893">
            <v>5</v>
          </cell>
          <cell r="M1893">
            <v>52.9</v>
          </cell>
        </row>
        <row r="1894">
          <cell r="A1894">
            <v>6</v>
          </cell>
          <cell r="B1894">
            <v>2004</v>
          </cell>
          <cell r="C1894">
            <v>1</v>
          </cell>
          <cell r="D1894" t="str">
            <v>Service-Devt</v>
          </cell>
          <cell r="E1894" t="str">
            <v>Oil</v>
          </cell>
          <cell r="F1894" t="str">
            <v>Oil Sands</v>
          </cell>
          <cell r="G1894">
            <v>0</v>
          </cell>
          <cell r="H1894" t="str">
            <v>Service/Storage</v>
          </cell>
          <cell r="I1894" t="str">
            <v>Oil;Oil Sands;0;6</v>
          </cell>
          <cell r="J1894" t="str">
            <v>AB</v>
          </cell>
          <cell r="K1894" t="str">
            <v>Shallow</v>
          </cell>
          <cell r="L1894">
            <v>22</v>
          </cell>
          <cell r="M1894">
            <v>35.5</v>
          </cell>
        </row>
        <row r="1895">
          <cell r="A1895">
            <v>6</v>
          </cell>
          <cell r="B1895">
            <v>2005</v>
          </cell>
          <cell r="C1895">
            <v>1</v>
          </cell>
          <cell r="D1895" t="str">
            <v>Service-Devt</v>
          </cell>
          <cell r="E1895" t="str">
            <v>Oil</v>
          </cell>
          <cell r="F1895" t="str">
            <v>Oil Sands</v>
          </cell>
          <cell r="G1895">
            <v>0</v>
          </cell>
          <cell r="H1895" t="str">
            <v>Service/Storage</v>
          </cell>
          <cell r="I1895" t="str">
            <v>Oil;Oil Sands;0;6</v>
          </cell>
          <cell r="J1895" t="str">
            <v>AB</v>
          </cell>
          <cell r="K1895" t="str">
            <v>Deep</v>
          </cell>
          <cell r="L1895">
            <v>18</v>
          </cell>
          <cell r="M1895">
            <v>223.69198800000004</v>
          </cell>
        </row>
        <row r="1896">
          <cell r="A1896">
            <v>6</v>
          </cell>
          <cell r="B1896">
            <v>2005</v>
          </cell>
          <cell r="C1896">
            <v>1</v>
          </cell>
          <cell r="D1896" t="str">
            <v>Service-Devt</v>
          </cell>
          <cell r="E1896" t="str">
            <v>Oil</v>
          </cell>
          <cell r="F1896" t="str">
            <v>Oil Sands</v>
          </cell>
          <cell r="G1896">
            <v>0</v>
          </cell>
          <cell r="H1896" t="str">
            <v>Service/Storage</v>
          </cell>
          <cell r="I1896" t="str">
            <v>Oil;Oil Sands;0;6</v>
          </cell>
          <cell r="J1896" t="str">
            <v>AB</v>
          </cell>
          <cell r="K1896" t="str">
            <v>Medium</v>
          </cell>
          <cell r="L1896">
            <v>27</v>
          </cell>
          <cell r="M1896">
            <v>267.15406400000001</v>
          </cell>
        </row>
        <row r="1897">
          <cell r="A1897">
            <v>6</v>
          </cell>
          <cell r="B1897">
            <v>2006</v>
          </cell>
          <cell r="C1897">
            <v>1</v>
          </cell>
          <cell r="D1897" t="str">
            <v>Service-Devt</v>
          </cell>
          <cell r="E1897" t="str">
            <v>Oil</v>
          </cell>
          <cell r="F1897" t="str">
            <v>Oil Sands</v>
          </cell>
          <cell r="G1897">
            <v>0</v>
          </cell>
          <cell r="H1897" t="str">
            <v>Service/Storage</v>
          </cell>
          <cell r="I1897" t="str">
            <v>Oil;Oil Sands;0;6</v>
          </cell>
          <cell r="J1897" t="str">
            <v>AB</v>
          </cell>
          <cell r="K1897" t="str">
            <v>Deep</v>
          </cell>
          <cell r="L1897">
            <v>20</v>
          </cell>
          <cell r="M1897">
            <v>167.67425899999998</v>
          </cell>
        </row>
        <row r="1898">
          <cell r="A1898">
            <v>6</v>
          </cell>
          <cell r="B1898">
            <v>2006</v>
          </cell>
          <cell r="C1898">
            <v>1</v>
          </cell>
          <cell r="D1898" t="str">
            <v>Service-Devt</v>
          </cell>
          <cell r="E1898" t="str">
            <v>Oil</v>
          </cell>
          <cell r="F1898" t="str">
            <v>Oil Sands</v>
          </cell>
          <cell r="G1898">
            <v>0</v>
          </cell>
          <cell r="H1898" t="str">
            <v>Service/Storage</v>
          </cell>
          <cell r="I1898" t="str">
            <v>Oil;Oil Sands;0;6</v>
          </cell>
          <cell r="J1898" t="str">
            <v>AB</v>
          </cell>
          <cell r="K1898" t="str">
            <v>Medium</v>
          </cell>
          <cell r="L1898">
            <v>12</v>
          </cell>
          <cell r="M1898">
            <v>143.008678</v>
          </cell>
        </row>
        <row r="1899">
          <cell r="A1899">
            <v>6</v>
          </cell>
          <cell r="B1899">
            <v>2006</v>
          </cell>
          <cell r="C1899">
            <v>1</v>
          </cell>
          <cell r="D1899" t="str">
            <v>Service-Devt</v>
          </cell>
          <cell r="E1899" t="str">
            <v>Oil</v>
          </cell>
          <cell r="F1899" t="str">
            <v>Oil Sands</v>
          </cell>
          <cell r="G1899">
            <v>0</v>
          </cell>
          <cell r="H1899" t="str">
            <v>Service/Storage</v>
          </cell>
          <cell r="I1899" t="str">
            <v>Oil;Oil Sands;0;6</v>
          </cell>
          <cell r="J1899" t="str">
            <v>AB</v>
          </cell>
          <cell r="K1899" t="str">
            <v>Shallow</v>
          </cell>
          <cell r="L1899">
            <v>1</v>
          </cell>
          <cell r="M1899">
            <v>4</v>
          </cell>
        </row>
        <row r="1900">
          <cell r="A1900">
            <v>11</v>
          </cell>
          <cell r="B1900">
            <v>2000</v>
          </cell>
          <cell r="C1900">
            <v>1</v>
          </cell>
          <cell r="D1900" t="str">
            <v>Service-Devt</v>
          </cell>
          <cell r="E1900" t="str">
            <v>Oil</v>
          </cell>
          <cell r="F1900" t="str">
            <v>Oil Sands</v>
          </cell>
          <cell r="G1900">
            <v>0</v>
          </cell>
          <cell r="H1900" t="str">
            <v>Service/Storage</v>
          </cell>
          <cell r="I1900" t="str">
            <v>Oil;Oil Sands;0;11</v>
          </cell>
          <cell r="J1900" t="str">
            <v>SK</v>
          </cell>
          <cell r="K1900" t="str">
            <v>Medium</v>
          </cell>
          <cell r="L1900">
            <v>4</v>
          </cell>
          <cell r="M1900">
            <v>13.5</v>
          </cell>
        </row>
        <row r="1901">
          <cell r="A1901">
            <v>11</v>
          </cell>
          <cell r="B1901">
            <v>2001</v>
          </cell>
          <cell r="C1901">
            <v>1</v>
          </cell>
          <cell r="D1901" t="str">
            <v>Service-Devt</v>
          </cell>
          <cell r="E1901" t="str">
            <v>Oil</v>
          </cell>
          <cell r="F1901" t="str">
            <v>Oil Sands</v>
          </cell>
          <cell r="G1901">
            <v>0</v>
          </cell>
          <cell r="H1901" t="str">
            <v>Service/Storage</v>
          </cell>
          <cell r="I1901" t="str">
            <v>Oil;Oil Sands;0;11</v>
          </cell>
          <cell r="J1901" t="str">
            <v>SK</v>
          </cell>
          <cell r="K1901" t="str">
            <v>Medium</v>
          </cell>
          <cell r="L1901">
            <v>5</v>
          </cell>
          <cell r="M1901">
            <v>74</v>
          </cell>
        </row>
        <row r="1902">
          <cell r="A1902">
            <v>11</v>
          </cell>
          <cell r="B1902">
            <v>2002</v>
          </cell>
          <cell r="C1902">
            <v>1</v>
          </cell>
          <cell r="D1902" t="str">
            <v>Service-Devt</v>
          </cell>
          <cell r="E1902" t="str">
            <v>Oil</v>
          </cell>
          <cell r="F1902" t="str">
            <v>Oil Sands</v>
          </cell>
          <cell r="G1902">
            <v>0</v>
          </cell>
          <cell r="H1902" t="str">
            <v>Service/Storage</v>
          </cell>
          <cell r="I1902" t="str">
            <v>Oil;Oil Sands;0;11</v>
          </cell>
          <cell r="J1902" t="str">
            <v>SK</v>
          </cell>
          <cell r="K1902" t="str">
            <v>Medium</v>
          </cell>
          <cell r="L1902">
            <v>3</v>
          </cell>
          <cell r="M1902">
            <v>25.461532999999999</v>
          </cell>
        </row>
        <row r="1903">
          <cell r="A1903">
            <v>11</v>
          </cell>
          <cell r="B1903">
            <v>2002</v>
          </cell>
          <cell r="C1903">
            <v>1</v>
          </cell>
          <cell r="D1903" t="str">
            <v>Service-Devt</v>
          </cell>
          <cell r="E1903" t="str">
            <v>Oil</v>
          </cell>
          <cell r="F1903" t="str">
            <v>Oil Sands</v>
          </cell>
          <cell r="G1903">
            <v>0</v>
          </cell>
          <cell r="H1903" t="str">
            <v>Service/Storage</v>
          </cell>
          <cell r="I1903" t="str">
            <v>Oil;Oil Sands;0;11</v>
          </cell>
          <cell r="J1903" t="str">
            <v>SK</v>
          </cell>
          <cell r="K1903" t="str">
            <v>Shallow</v>
          </cell>
          <cell r="L1903">
            <v>4</v>
          </cell>
          <cell r="M1903">
            <v>52.862620999999997</v>
          </cell>
        </row>
        <row r="1904">
          <cell r="A1904">
            <v>11</v>
          </cell>
          <cell r="B1904">
            <v>2003</v>
          </cell>
          <cell r="C1904">
            <v>1</v>
          </cell>
          <cell r="D1904" t="str">
            <v>Service-Devt</v>
          </cell>
          <cell r="E1904" t="str">
            <v>Oil</v>
          </cell>
          <cell r="F1904" t="str">
            <v>Oil Sands</v>
          </cell>
          <cell r="G1904">
            <v>0</v>
          </cell>
          <cell r="H1904" t="str">
            <v>Service/Storage</v>
          </cell>
          <cell r="I1904" t="str">
            <v>Oil;Oil Sands;0;11</v>
          </cell>
          <cell r="J1904" t="str">
            <v>SK</v>
          </cell>
          <cell r="K1904" t="str">
            <v>Deep</v>
          </cell>
          <cell r="L1904">
            <v>3</v>
          </cell>
          <cell r="M1904">
            <v>46.3</v>
          </cell>
        </row>
        <row r="1905">
          <cell r="A1905">
            <v>11</v>
          </cell>
          <cell r="B1905">
            <v>2003</v>
          </cell>
          <cell r="C1905">
            <v>1</v>
          </cell>
          <cell r="D1905" t="str">
            <v>Service-Devt</v>
          </cell>
          <cell r="E1905" t="str">
            <v>Oil</v>
          </cell>
          <cell r="F1905" t="str">
            <v>Oil Sands</v>
          </cell>
          <cell r="G1905">
            <v>0</v>
          </cell>
          <cell r="H1905" t="str">
            <v>Service/Storage</v>
          </cell>
          <cell r="I1905" t="str">
            <v>Oil;Oil Sands;0;11</v>
          </cell>
          <cell r="J1905" t="str">
            <v>SK</v>
          </cell>
          <cell r="K1905" t="str">
            <v>Medium</v>
          </cell>
          <cell r="L1905">
            <v>9</v>
          </cell>
          <cell r="M1905">
            <v>100.055952</v>
          </cell>
        </row>
        <row r="1906">
          <cell r="A1906">
            <v>11</v>
          </cell>
          <cell r="B1906">
            <v>2003</v>
          </cell>
          <cell r="C1906">
            <v>1</v>
          </cell>
          <cell r="D1906" t="str">
            <v>Service-Devt</v>
          </cell>
          <cell r="E1906" t="str">
            <v>Oil</v>
          </cell>
          <cell r="F1906" t="str">
            <v>Oil Sands</v>
          </cell>
          <cell r="G1906">
            <v>0</v>
          </cell>
          <cell r="H1906" t="str">
            <v>Service/Storage</v>
          </cell>
          <cell r="I1906" t="str">
            <v>Oil;Oil Sands;0;11</v>
          </cell>
          <cell r="J1906" t="str">
            <v>SK</v>
          </cell>
          <cell r="K1906" t="str">
            <v>Shallow</v>
          </cell>
          <cell r="L1906">
            <v>2</v>
          </cell>
          <cell r="M1906">
            <v>4</v>
          </cell>
        </row>
        <row r="1907">
          <cell r="A1907">
            <v>11</v>
          </cell>
          <cell r="B1907">
            <v>2004</v>
          </cell>
          <cell r="C1907">
            <v>1</v>
          </cell>
          <cell r="D1907" t="str">
            <v>Service-Devt</v>
          </cell>
          <cell r="E1907" t="str">
            <v>Oil</v>
          </cell>
          <cell r="F1907" t="str">
            <v>Oil Sands</v>
          </cell>
          <cell r="G1907">
            <v>0</v>
          </cell>
          <cell r="H1907" t="str">
            <v>Service/Storage</v>
          </cell>
          <cell r="I1907" t="str">
            <v>Oil;Oil Sands;0;11</v>
          </cell>
          <cell r="J1907" t="str">
            <v>SK</v>
          </cell>
          <cell r="K1907" t="str">
            <v>Medium</v>
          </cell>
          <cell r="L1907">
            <v>4</v>
          </cell>
          <cell r="M1907">
            <v>62.33334</v>
          </cell>
        </row>
        <row r="1908">
          <cell r="A1908">
            <v>11</v>
          </cell>
          <cell r="B1908">
            <v>2004</v>
          </cell>
          <cell r="C1908">
            <v>1</v>
          </cell>
          <cell r="D1908" t="str">
            <v>Service-Devt</v>
          </cell>
          <cell r="E1908" t="str">
            <v>Oil</v>
          </cell>
          <cell r="F1908" t="str">
            <v>Oil Sands</v>
          </cell>
          <cell r="G1908">
            <v>0</v>
          </cell>
          <cell r="H1908" t="str">
            <v>Service/Storage</v>
          </cell>
          <cell r="I1908" t="str">
            <v>Oil;Oil Sands;0;11</v>
          </cell>
          <cell r="J1908" t="str">
            <v>SK</v>
          </cell>
          <cell r="K1908" t="str">
            <v>Shallow</v>
          </cell>
          <cell r="L1908">
            <v>1</v>
          </cell>
          <cell r="M1908">
            <v>3</v>
          </cell>
        </row>
        <row r="1909">
          <cell r="A1909">
            <v>11</v>
          </cell>
          <cell r="B1909">
            <v>2005</v>
          </cell>
          <cell r="C1909">
            <v>1</v>
          </cell>
          <cell r="D1909" t="str">
            <v>Service-Devt</v>
          </cell>
          <cell r="E1909" t="str">
            <v>Oil</v>
          </cell>
          <cell r="F1909" t="str">
            <v>Oil Sands</v>
          </cell>
          <cell r="G1909">
            <v>0</v>
          </cell>
          <cell r="H1909" t="str">
            <v>Service/Storage</v>
          </cell>
          <cell r="I1909" t="str">
            <v>Oil;Oil Sands;0;11</v>
          </cell>
          <cell r="J1909" t="str">
            <v>SK</v>
          </cell>
          <cell r="K1909" t="str">
            <v>Deep</v>
          </cell>
          <cell r="L1909">
            <v>3</v>
          </cell>
          <cell r="M1909">
            <v>33.649996000000002</v>
          </cell>
        </row>
        <row r="1910">
          <cell r="A1910">
            <v>11</v>
          </cell>
          <cell r="B1910">
            <v>2005</v>
          </cell>
          <cell r="C1910">
            <v>1</v>
          </cell>
          <cell r="D1910" t="str">
            <v>Service-Devt</v>
          </cell>
          <cell r="E1910" t="str">
            <v>Oil</v>
          </cell>
          <cell r="F1910" t="str">
            <v>Oil Sands</v>
          </cell>
          <cell r="G1910">
            <v>0</v>
          </cell>
          <cell r="H1910" t="str">
            <v>Service/Storage</v>
          </cell>
          <cell r="I1910" t="str">
            <v>Oil;Oil Sands;0;11</v>
          </cell>
          <cell r="J1910" t="str">
            <v>SK</v>
          </cell>
          <cell r="K1910" t="str">
            <v>Medium</v>
          </cell>
          <cell r="L1910">
            <v>5</v>
          </cell>
          <cell r="M1910">
            <v>46.833337</v>
          </cell>
        </row>
        <row r="1911">
          <cell r="A1911">
            <v>11</v>
          </cell>
          <cell r="B1911">
            <v>2006</v>
          </cell>
          <cell r="C1911">
            <v>1</v>
          </cell>
          <cell r="D1911" t="str">
            <v>Service-Devt</v>
          </cell>
          <cell r="E1911" t="str">
            <v>Oil</v>
          </cell>
          <cell r="F1911" t="str">
            <v>Oil Sands</v>
          </cell>
          <cell r="G1911">
            <v>0</v>
          </cell>
          <cell r="H1911" t="str">
            <v>Service/Storage</v>
          </cell>
          <cell r="I1911" t="str">
            <v>Oil;Oil Sands;0;11</v>
          </cell>
          <cell r="J1911" t="str">
            <v>SK</v>
          </cell>
          <cell r="K1911" t="str">
            <v>Medium</v>
          </cell>
          <cell r="L1911">
            <v>4</v>
          </cell>
          <cell r="M1911">
            <v>55</v>
          </cell>
        </row>
        <row r="1912">
          <cell r="A1912">
            <v>11</v>
          </cell>
          <cell r="B1912">
            <v>2007</v>
          </cell>
          <cell r="C1912">
            <v>1</v>
          </cell>
          <cell r="D1912" t="str">
            <v>Service-Devt</v>
          </cell>
          <cell r="E1912" t="str">
            <v>Oil</v>
          </cell>
          <cell r="F1912" t="str">
            <v>Oil Sands</v>
          </cell>
          <cell r="G1912">
            <v>0</v>
          </cell>
          <cell r="H1912" t="str">
            <v>Service/Storage</v>
          </cell>
          <cell r="I1912" t="str">
            <v>Oil;Oil Sands;0;11</v>
          </cell>
          <cell r="J1912" t="str">
            <v>SK</v>
          </cell>
          <cell r="K1912" t="str">
            <v>Medium</v>
          </cell>
          <cell r="L1912">
            <v>1</v>
          </cell>
          <cell r="M1912">
            <v>7</v>
          </cell>
        </row>
        <row r="1913">
          <cell r="A1913">
            <v>2</v>
          </cell>
          <cell r="B1913">
            <v>2000</v>
          </cell>
          <cell r="C1913">
            <v>1</v>
          </cell>
          <cell r="D1913" t="str">
            <v>Service-Devt</v>
          </cell>
          <cell r="E1913" t="str">
            <v>Unknown</v>
          </cell>
          <cell r="F1913" t="str">
            <v>Conventional</v>
          </cell>
          <cell r="G1913">
            <v>0</v>
          </cell>
          <cell r="H1913" t="str">
            <v>Service/Storage</v>
          </cell>
          <cell r="I1913" t="str">
            <v>Unknown;Conventional;0;2</v>
          </cell>
          <cell r="J1913" t="str">
            <v>AB</v>
          </cell>
          <cell r="K1913" t="str">
            <v>Medium</v>
          </cell>
          <cell r="L1913">
            <v>1</v>
          </cell>
          <cell r="M1913">
            <v>9</v>
          </cell>
        </row>
        <row r="1914">
          <cell r="A1914">
            <v>2</v>
          </cell>
          <cell r="B1914">
            <v>2001</v>
          </cell>
          <cell r="C1914">
            <v>1</v>
          </cell>
          <cell r="D1914" t="str">
            <v>Service-Devt</v>
          </cell>
          <cell r="E1914" t="str">
            <v>Unknown</v>
          </cell>
          <cell r="F1914" t="str">
            <v>Conventional</v>
          </cell>
          <cell r="G1914">
            <v>0</v>
          </cell>
          <cell r="H1914" t="str">
            <v>Service/Storage</v>
          </cell>
          <cell r="I1914" t="str">
            <v>Unknown;Conventional;0;2</v>
          </cell>
          <cell r="J1914" t="str">
            <v>AB</v>
          </cell>
          <cell r="K1914" t="str">
            <v>DEEP</v>
          </cell>
          <cell r="L1914">
            <v>2</v>
          </cell>
          <cell r="M1914">
            <v>193</v>
          </cell>
        </row>
        <row r="1915">
          <cell r="A1915">
            <v>2</v>
          </cell>
          <cell r="B1915">
            <v>2001</v>
          </cell>
          <cell r="C1915">
            <v>2</v>
          </cell>
          <cell r="D1915" t="str">
            <v>Service-Devt</v>
          </cell>
          <cell r="E1915" t="str">
            <v>Unknown</v>
          </cell>
          <cell r="F1915" t="str">
            <v>Conventional</v>
          </cell>
          <cell r="G1915">
            <v>0</v>
          </cell>
          <cell r="H1915" t="str">
            <v>Service/Storage</v>
          </cell>
          <cell r="I1915" t="str">
            <v>Unknown;Conventional;0;2</v>
          </cell>
          <cell r="J1915" t="str">
            <v>AB</v>
          </cell>
          <cell r="K1915" t="str">
            <v>Deep</v>
          </cell>
          <cell r="L1915">
            <v>1</v>
          </cell>
          <cell r="M1915">
            <v>5</v>
          </cell>
        </row>
        <row r="1916">
          <cell r="A1916">
            <v>2</v>
          </cell>
          <cell r="B1916">
            <v>2002</v>
          </cell>
          <cell r="C1916">
            <v>1</v>
          </cell>
          <cell r="D1916" t="str">
            <v>Service-Devt</v>
          </cell>
          <cell r="E1916" t="str">
            <v>Unknown</v>
          </cell>
          <cell r="F1916" t="str">
            <v>Conventional</v>
          </cell>
          <cell r="G1916">
            <v>0</v>
          </cell>
          <cell r="H1916" t="str">
            <v>Service/Storage</v>
          </cell>
          <cell r="I1916" t="str">
            <v>Unknown;Conventional;0;2</v>
          </cell>
          <cell r="J1916" t="str">
            <v>AB</v>
          </cell>
          <cell r="K1916" t="str">
            <v>Deep</v>
          </cell>
          <cell r="L1916">
            <v>1</v>
          </cell>
          <cell r="M1916">
            <v>48</v>
          </cell>
        </row>
        <row r="1917">
          <cell r="A1917">
            <v>2</v>
          </cell>
          <cell r="B1917">
            <v>2004</v>
          </cell>
          <cell r="C1917">
            <v>1</v>
          </cell>
          <cell r="D1917" t="str">
            <v>Service-Devt</v>
          </cell>
          <cell r="E1917" t="str">
            <v>Unknown</v>
          </cell>
          <cell r="F1917" t="str">
            <v>Conventional</v>
          </cell>
          <cell r="G1917">
            <v>0</v>
          </cell>
          <cell r="H1917" t="str">
            <v>Service/Storage</v>
          </cell>
          <cell r="I1917" t="str">
            <v>Unknown;Conventional;0;2</v>
          </cell>
          <cell r="J1917" t="str">
            <v>AB</v>
          </cell>
          <cell r="K1917" t="str">
            <v>Medium</v>
          </cell>
          <cell r="L1917">
            <v>1</v>
          </cell>
          <cell r="M1917">
            <v>14</v>
          </cell>
        </row>
        <row r="1918">
          <cell r="A1918">
            <v>2</v>
          </cell>
          <cell r="B1918">
            <v>2005</v>
          </cell>
          <cell r="C1918">
            <v>1</v>
          </cell>
          <cell r="D1918" t="str">
            <v>Service-Devt</v>
          </cell>
          <cell r="E1918" t="str">
            <v>Unknown</v>
          </cell>
          <cell r="F1918" t="str">
            <v>Conventional</v>
          </cell>
          <cell r="G1918">
            <v>0</v>
          </cell>
          <cell r="H1918" t="str">
            <v>Service/Storage</v>
          </cell>
          <cell r="I1918" t="str">
            <v>Unknown;Conventional;0;2</v>
          </cell>
          <cell r="J1918" t="str">
            <v>AB</v>
          </cell>
          <cell r="K1918" t="str">
            <v>Medium</v>
          </cell>
          <cell r="L1918">
            <v>1</v>
          </cell>
          <cell r="M1918">
            <v>6</v>
          </cell>
        </row>
        <row r="1919">
          <cell r="A1919">
            <v>2</v>
          </cell>
          <cell r="B1919">
            <v>2005</v>
          </cell>
          <cell r="C1919">
            <v>2</v>
          </cell>
          <cell r="D1919" t="str">
            <v>Service-Devt</v>
          </cell>
          <cell r="E1919" t="str">
            <v>Unknown</v>
          </cell>
          <cell r="F1919" t="str">
            <v>Conventional</v>
          </cell>
          <cell r="G1919">
            <v>0</v>
          </cell>
          <cell r="H1919" t="str">
            <v>Service/Storage</v>
          </cell>
          <cell r="I1919" t="str">
            <v>Unknown;Conventional;0;2</v>
          </cell>
          <cell r="J1919" t="str">
            <v>AB</v>
          </cell>
          <cell r="K1919" t="str">
            <v>Medium</v>
          </cell>
          <cell r="L1919">
            <v>1</v>
          </cell>
          <cell r="M1919">
            <v>7</v>
          </cell>
        </row>
        <row r="1920">
          <cell r="A1920">
            <v>3</v>
          </cell>
          <cell r="B1920">
            <v>2000</v>
          </cell>
          <cell r="C1920">
            <v>1</v>
          </cell>
          <cell r="D1920" t="str">
            <v>Service-Devt</v>
          </cell>
          <cell r="E1920" t="str">
            <v>Unknown</v>
          </cell>
          <cell r="F1920" t="str">
            <v>Conventional</v>
          </cell>
          <cell r="G1920">
            <v>0</v>
          </cell>
          <cell r="H1920" t="str">
            <v>Service/Storage</v>
          </cell>
          <cell r="I1920" t="str">
            <v>Unknown;Conventional;0;3</v>
          </cell>
          <cell r="J1920" t="str">
            <v>AB</v>
          </cell>
          <cell r="K1920" t="str">
            <v>Medium</v>
          </cell>
          <cell r="L1920">
            <v>1</v>
          </cell>
          <cell r="M1920">
            <v>5</v>
          </cell>
        </row>
        <row r="1921">
          <cell r="A1921">
            <v>3</v>
          </cell>
          <cell r="B1921">
            <v>2000</v>
          </cell>
          <cell r="C1921">
            <v>1</v>
          </cell>
          <cell r="D1921" t="str">
            <v>Service-Devt</v>
          </cell>
          <cell r="E1921" t="str">
            <v>Unknown</v>
          </cell>
          <cell r="F1921" t="str">
            <v>Conventional</v>
          </cell>
          <cell r="G1921">
            <v>0</v>
          </cell>
          <cell r="H1921" t="str">
            <v>Service/Storage</v>
          </cell>
          <cell r="I1921" t="str">
            <v>Unknown;Conventional;0;3</v>
          </cell>
          <cell r="J1921" t="str">
            <v>AB</v>
          </cell>
          <cell r="K1921" t="str">
            <v>Shallow</v>
          </cell>
          <cell r="L1921">
            <v>3</v>
          </cell>
          <cell r="M1921">
            <v>12.5</v>
          </cell>
        </row>
        <row r="1922">
          <cell r="A1922">
            <v>3</v>
          </cell>
          <cell r="B1922">
            <v>2001</v>
          </cell>
          <cell r="C1922">
            <v>1</v>
          </cell>
          <cell r="D1922" t="str">
            <v>Service-Devt</v>
          </cell>
          <cell r="E1922" t="str">
            <v>Unknown</v>
          </cell>
          <cell r="F1922" t="str">
            <v>Conventional</v>
          </cell>
          <cell r="G1922">
            <v>0</v>
          </cell>
          <cell r="H1922" t="str">
            <v>Service/Storage</v>
          </cell>
          <cell r="I1922" t="str">
            <v>Unknown;Conventional;0;3</v>
          </cell>
          <cell r="J1922" t="str">
            <v>AB</v>
          </cell>
          <cell r="K1922" t="str">
            <v>Medium</v>
          </cell>
          <cell r="L1922">
            <v>2</v>
          </cell>
          <cell r="M1922">
            <v>17</v>
          </cell>
        </row>
        <row r="1923">
          <cell r="A1923">
            <v>3</v>
          </cell>
          <cell r="B1923">
            <v>2001</v>
          </cell>
          <cell r="C1923">
            <v>1</v>
          </cell>
          <cell r="D1923" t="str">
            <v>Service-Devt</v>
          </cell>
          <cell r="E1923" t="str">
            <v>Unknown</v>
          </cell>
          <cell r="F1923" t="str">
            <v>Conventional</v>
          </cell>
          <cell r="G1923">
            <v>0</v>
          </cell>
          <cell r="H1923" t="str">
            <v>Service/Storage</v>
          </cell>
          <cell r="I1923" t="str">
            <v>Unknown;Conventional;0;3</v>
          </cell>
          <cell r="J1923" t="str">
            <v>AB</v>
          </cell>
          <cell r="K1923" t="str">
            <v>Shallow</v>
          </cell>
          <cell r="L1923">
            <v>3</v>
          </cell>
          <cell r="M1923">
            <v>11.4</v>
          </cell>
        </row>
        <row r="1924">
          <cell r="A1924">
            <v>3</v>
          </cell>
          <cell r="B1924">
            <v>2002</v>
          </cell>
          <cell r="C1924">
            <v>1</v>
          </cell>
          <cell r="D1924" t="str">
            <v>Service-Devt</v>
          </cell>
          <cell r="E1924" t="str">
            <v>Unknown</v>
          </cell>
          <cell r="F1924" t="str">
            <v>Conventional</v>
          </cell>
          <cell r="G1924">
            <v>0</v>
          </cell>
          <cell r="H1924" t="str">
            <v>Service/Storage</v>
          </cell>
          <cell r="I1924" t="str">
            <v>Unknown;Conventional;0;3</v>
          </cell>
          <cell r="J1924" t="str">
            <v>AB</v>
          </cell>
          <cell r="K1924" t="str">
            <v>MEDIUM</v>
          </cell>
          <cell r="L1924">
            <v>2</v>
          </cell>
          <cell r="M1924">
            <v>18</v>
          </cell>
        </row>
        <row r="1925">
          <cell r="A1925">
            <v>3</v>
          </cell>
          <cell r="B1925">
            <v>2002</v>
          </cell>
          <cell r="C1925">
            <v>1</v>
          </cell>
          <cell r="D1925" t="str">
            <v>Service-Devt</v>
          </cell>
          <cell r="E1925" t="str">
            <v>Unknown</v>
          </cell>
          <cell r="F1925" t="str">
            <v>Conventional</v>
          </cell>
          <cell r="G1925">
            <v>0</v>
          </cell>
          <cell r="H1925" t="str">
            <v>Service/Storage</v>
          </cell>
          <cell r="I1925" t="str">
            <v>Unknown;Conventional;0;3</v>
          </cell>
          <cell r="J1925" t="str">
            <v>AB</v>
          </cell>
          <cell r="K1925" t="str">
            <v>Shallow</v>
          </cell>
          <cell r="L1925">
            <v>3</v>
          </cell>
          <cell r="M1925">
            <v>19</v>
          </cell>
        </row>
        <row r="1926">
          <cell r="A1926">
            <v>3</v>
          </cell>
          <cell r="B1926">
            <v>2003</v>
          </cell>
          <cell r="C1926">
            <v>1</v>
          </cell>
          <cell r="D1926" t="str">
            <v>Service-Devt</v>
          </cell>
          <cell r="E1926" t="str">
            <v>Unknown</v>
          </cell>
          <cell r="F1926" t="str">
            <v>Conventional</v>
          </cell>
          <cell r="G1926">
            <v>0</v>
          </cell>
          <cell r="H1926" t="str">
            <v>Service/Storage</v>
          </cell>
          <cell r="I1926" t="str">
            <v>Unknown;Conventional;0;3</v>
          </cell>
          <cell r="J1926" t="str">
            <v>AB</v>
          </cell>
          <cell r="K1926" t="str">
            <v>Medium</v>
          </cell>
          <cell r="L1926">
            <v>4</v>
          </cell>
          <cell r="M1926">
            <v>12</v>
          </cell>
        </row>
        <row r="1927">
          <cell r="A1927">
            <v>3</v>
          </cell>
          <cell r="B1927">
            <v>2004</v>
          </cell>
          <cell r="C1927">
            <v>1</v>
          </cell>
          <cell r="D1927" t="str">
            <v>Service-Devt</v>
          </cell>
          <cell r="E1927" t="str">
            <v>Unknown</v>
          </cell>
          <cell r="F1927" t="str">
            <v>Conventional</v>
          </cell>
          <cell r="G1927">
            <v>0</v>
          </cell>
          <cell r="H1927" t="str">
            <v>Service/Storage</v>
          </cell>
          <cell r="I1927" t="str">
            <v>Unknown;Conventional;0;3</v>
          </cell>
          <cell r="J1927" t="str">
            <v>AB</v>
          </cell>
          <cell r="K1927" t="str">
            <v>Medium</v>
          </cell>
          <cell r="L1927">
            <v>2</v>
          </cell>
          <cell r="M1927">
            <v>9</v>
          </cell>
        </row>
        <row r="1928">
          <cell r="A1928">
            <v>3</v>
          </cell>
          <cell r="B1928">
            <v>2004</v>
          </cell>
          <cell r="C1928">
            <v>1</v>
          </cell>
          <cell r="D1928" t="str">
            <v>Service-Devt</v>
          </cell>
          <cell r="E1928" t="str">
            <v>Unknown</v>
          </cell>
          <cell r="F1928" t="str">
            <v>Conventional</v>
          </cell>
          <cell r="G1928">
            <v>0</v>
          </cell>
          <cell r="H1928" t="str">
            <v>Service/Storage</v>
          </cell>
          <cell r="I1928" t="str">
            <v>Unknown;Conventional;0;3</v>
          </cell>
          <cell r="J1928" t="str">
            <v>AB</v>
          </cell>
          <cell r="K1928" t="str">
            <v>Shallow</v>
          </cell>
          <cell r="L1928">
            <v>2</v>
          </cell>
          <cell r="M1928">
            <v>10</v>
          </cell>
        </row>
        <row r="1929">
          <cell r="A1929">
            <v>3</v>
          </cell>
          <cell r="B1929">
            <v>2005</v>
          </cell>
          <cell r="C1929">
            <v>1</v>
          </cell>
          <cell r="D1929" t="str">
            <v>Service-Devt</v>
          </cell>
          <cell r="E1929" t="str">
            <v>Unknown</v>
          </cell>
          <cell r="F1929" t="str">
            <v>Conventional</v>
          </cell>
          <cell r="G1929">
            <v>0</v>
          </cell>
          <cell r="H1929" t="str">
            <v>Service/Storage</v>
          </cell>
          <cell r="I1929" t="str">
            <v>Unknown;Conventional;0;3</v>
          </cell>
          <cell r="J1929" t="str">
            <v>AB</v>
          </cell>
          <cell r="K1929" t="str">
            <v>Medium</v>
          </cell>
          <cell r="L1929">
            <v>2</v>
          </cell>
          <cell r="M1929">
            <v>17</v>
          </cell>
        </row>
        <row r="1930">
          <cell r="A1930">
            <v>3</v>
          </cell>
          <cell r="B1930">
            <v>2006</v>
          </cell>
          <cell r="C1930">
            <v>1</v>
          </cell>
          <cell r="D1930" t="str">
            <v>Service-Devt</v>
          </cell>
          <cell r="E1930" t="str">
            <v>Unknown</v>
          </cell>
          <cell r="F1930" t="str">
            <v>Conventional</v>
          </cell>
          <cell r="G1930">
            <v>0</v>
          </cell>
          <cell r="H1930" t="str">
            <v>Service/Storage</v>
          </cell>
          <cell r="I1930" t="str">
            <v>Unknown;Conventional;0;3</v>
          </cell>
          <cell r="J1930" t="str">
            <v>AB</v>
          </cell>
          <cell r="K1930" t="str">
            <v>Shallow</v>
          </cell>
          <cell r="L1930">
            <v>1</v>
          </cell>
          <cell r="M1930">
            <v>3</v>
          </cell>
        </row>
        <row r="1931">
          <cell r="A1931">
            <v>4</v>
          </cell>
          <cell r="B1931">
            <v>2000</v>
          </cell>
          <cell r="C1931">
            <v>1</v>
          </cell>
          <cell r="D1931" t="str">
            <v>Service-Devt</v>
          </cell>
          <cell r="E1931" t="str">
            <v>Unknown</v>
          </cell>
          <cell r="F1931" t="str">
            <v>Conventional</v>
          </cell>
          <cell r="G1931">
            <v>0</v>
          </cell>
          <cell r="H1931" t="str">
            <v>Service/Storage</v>
          </cell>
          <cell r="I1931" t="str">
            <v>Unknown;Conventional;0;4</v>
          </cell>
          <cell r="J1931" t="str">
            <v>AB</v>
          </cell>
          <cell r="K1931" t="str">
            <v>DEEP</v>
          </cell>
          <cell r="L1931">
            <v>7</v>
          </cell>
          <cell r="M1931">
            <v>44</v>
          </cell>
        </row>
        <row r="1932">
          <cell r="A1932">
            <v>4</v>
          </cell>
          <cell r="B1932">
            <v>2000</v>
          </cell>
          <cell r="C1932">
            <v>1</v>
          </cell>
          <cell r="D1932" t="str">
            <v>Service-Devt</v>
          </cell>
          <cell r="E1932" t="str">
            <v>Unknown</v>
          </cell>
          <cell r="F1932" t="str">
            <v>Conventional</v>
          </cell>
          <cell r="G1932">
            <v>0</v>
          </cell>
          <cell r="H1932" t="str">
            <v>Service/Storage</v>
          </cell>
          <cell r="I1932" t="str">
            <v>Unknown;Conventional;0;4</v>
          </cell>
          <cell r="J1932" t="str">
            <v>AB</v>
          </cell>
          <cell r="K1932" t="str">
            <v>Medium</v>
          </cell>
          <cell r="L1932">
            <v>3</v>
          </cell>
          <cell r="M1932">
            <v>8.8793870000000013</v>
          </cell>
        </row>
        <row r="1933">
          <cell r="A1933">
            <v>4</v>
          </cell>
          <cell r="B1933">
            <v>2000</v>
          </cell>
          <cell r="C1933">
            <v>1</v>
          </cell>
          <cell r="D1933" t="str">
            <v>Service-Devt</v>
          </cell>
          <cell r="E1933" t="str">
            <v>Unknown</v>
          </cell>
          <cell r="F1933" t="str">
            <v>Conventional</v>
          </cell>
          <cell r="G1933">
            <v>0</v>
          </cell>
          <cell r="H1933" t="str">
            <v>Service/Storage</v>
          </cell>
          <cell r="I1933" t="str">
            <v>Unknown;Conventional;0;4</v>
          </cell>
          <cell r="J1933" t="str">
            <v>AB</v>
          </cell>
          <cell r="K1933" t="str">
            <v>SHALLOW</v>
          </cell>
          <cell r="L1933">
            <v>3</v>
          </cell>
          <cell r="M1933">
            <v>13</v>
          </cell>
        </row>
        <row r="1934">
          <cell r="A1934">
            <v>4</v>
          </cell>
          <cell r="B1934">
            <v>2001</v>
          </cell>
          <cell r="C1934">
            <v>1</v>
          </cell>
          <cell r="D1934" t="str">
            <v>Service-Devt</v>
          </cell>
          <cell r="E1934" t="str">
            <v>Unknown</v>
          </cell>
          <cell r="F1934" t="str">
            <v>Conventional</v>
          </cell>
          <cell r="G1934">
            <v>0</v>
          </cell>
          <cell r="H1934" t="str">
            <v>Service/Storage</v>
          </cell>
          <cell r="I1934" t="str">
            <v>Unknown;Conventional;0;4</v>
          </cell>
          <cell r="J1934" t="str">
            <v>AB</v>
          </cell>
          <cell r="K1934" t="str">
            <v>Deep</v>
          </cell>
          <cell r="L1934">
            <v>4</v>
          </cell>
          <cell r="M1934">
            <v>5.3666666999999997</v>
          </cell>
        </row>
        <row r="1935">
          <cell r="A1935">
            <v>4</v>
          </cell>
          <cell r="B1935">
            <v>2001</v>
          </cell>
          <cell r="C1935">
            <v>1</v>
          </cell>
          <cell r="D1935" t="str">
            <v>Service-Devt</v>
          </cell>
          <cell r="E1935" t="str">
            <v>Unknown</v>
          </cell>
          <cell r="F1935" t="str">
            <v>Conventional</v>
          </cell>
          <cell r="G1935">
            <v>0</v>
          </cell>
          <cell r="H1935" t="str">
            <v>Service/Storage</v>
          </cell>
          <cell r="I1935" t="str">
            <v>Unknown;Conventional;0;4</v>
          </cell>
          <cell r="J1935" t="str">
            <v>AB</v>
          </cell>
          <cell r="K1935" t="str">
            <v>Medium</v>
          </cell>
          <cell r="L1935">
            <v>8</v>
          </cell>
          <cell r="M1935">
            <v>20.5</v>
          </cell>
        </row>
        <row r="1936">
          <cell r="A1936">
            <v>4</v>
          </cell>
          <cell r="B1936">
            <v>2001</v>
          </cell>
          <cell r="C1936">
            <v>1</v>
          </cell>
          <cell r="D1936" t="str">
            <v>Service-Devt</v>
          </cell>
          <cell r="E1936" t="str">
            <v>Unknown</v>
          </cell>
          <cell r="F1936" t="str">
            <v>Conventional</v>
          </cell>
          <cell r="G1936">
            <v>0</v>
          </cell>
          <cell r="H1936" t="str">
            <v>Service/Storage</v>
          </cell>
          <cell r="I1936" t="str">
            <v>Unknown;Conventional;0;4</v>
          </cell>
          <cell r="J1936" t="str">
            <v>AB</v>
          </cell>
          <cell r="K1936" t="str">
            <v>Shallow</v>
          </cell>
          <cell r="L1936">
            <v>3</v>
          </cell>
          <cell r="M1936">
            <v>14</v>
          </cell>
        </row>
        <row r="1937">
          <cell r="A1937">
            <v>4</v>
          </cell>
          <cell r="B1937">
            <v>2002</v>
          </cell>
          <cell r="C1937">
            <v>1</v>
          </cell>
          <cell r="D1937" t="str">
            <v>Service-Devt</v>
          </cell>
          <cell r="E1937" t="str">
            <v>Unknown</v>
          </cell>
          <cell r="F1937" t="str">
            <v>Conventional</v>
          </cell>
          <cell r="G1937">
            <v>0</v>
          </cell>
          <cell r="H1937" t="str">
            <v>Service/Storage</v>
          </cell>
          <cell r="I1937" t="str">
            <v>Unknown;Conventional;0;4</v>
          </cell>
          <cell r="J1937" t="str">
            <v>AB</v>
          </cell>
          <cell r="K1937" t="str">
            <v>Deep</v>
          </cell>
          <cell r="L1937">
            <v>1</v>
          </cell>
          <cell r="M1937">
            <v>1</v>
          </cell>
        </row>
        <row r="1938">
          <cell r="A1938">
            <v>4</v>
          </cell>
          <cell r="B1938">
            <v>2002</v>
          </cell>
          <cell r="C1938">
            <v>1</v>
          </cell>
          <cell r="D1938" t="str">
            <v>Service-Devt</v>
          </cell>
          <cell r="E1938" t="str">
            <v>Unknown</v>
          </cell>
          <cell r="F1938" t="str">
            <v>Conventional</v>
          </cell>
          <cell r="G1938">
            <v>0</v>
          </cell>
          <cell r="H1938" t="str">
            <v>Service/Storage</v>
          </cell>
          <cell r="I1938" t="str">
            <v>Unknown;Conventional;0;4</v>
          </cell>
          <cell r="J1938" t="str">
            <v>AB</v>
          </cell>
          <cell r="K1938" t="str">
            <v>Medium</v>
          </cell>
          <cell r="L1938">
            <v>10</v>
          </cell>
          <cell r="M1938">
            <v>49</v>
          </cell>
        </row>
        <row r="1939">
          <cell r="A1939">
            <v>4</v>
          </cell>
          <cell r="B1939">
            <v>2002</v>
          </cell>
          <cell r="C1939">
            <v>1</v>
          </cell>
          <cell r="D1939" t="str">
            <v>Service-Devt</v>
          </cell>
          <cell r="E1939" t="str">
            <v>Unknown</v>
          </cell>
          <cell r="F1939" t="str">
            <v>Conventional</v>
          </cell>
          <cell r="G1939">
            <v>0</v>
          </cell>
          <cell r="H1939" t="str">
            <v>Service/Storage</v>
          </cell>
          <cell r="I1939" t="str">
            <v>Unknown;Conventional;0;4</v>
          </cell>
          <cell r="J1939" t="str">
            <v>AB</v>
          </cell>
          <cell r="K1939" t="str">
            <v>Shallow</v>
          </cell>
          <cell r="L1939">
            <v>4</v>
          </cell>
          <cell r="M1939">
            <v>13.1815064</v>
          </cell>
        </row>
        <row r="1940">
          <cell r="A1940">
            <v>4</v>
          </cell>
          <cell r="B1940">
            <v>2003</v>
          </cell>
          <cell r="C1940">
            <v>1</v>
          </cell>
          <cell r="D1940" t="str">
            <v>Service-Devt</v>
          </cell>
          <cell r="E1940" t="str">
            <v>Unknown</v>
          </cell>
          <cell r="F1940" t="str">
            <v>Conventional</v>
          </cell>
          <cell r="G1940">
            <v>0</v>
          </cell>
          <cell r="H1940" t="str">
            <v>Service/Storage</v>
          </cell>
          <cell r="I1940" t="str">
            <v>Unknown;Conventional;0;4</v>
          </cell>
          <cell r="J1940" t="str">
            <v>AB</v>
          </cell>
          <cell r="K1940" t="str">
            <v>Deep</v>
          </cell>
          <cell r="L1940">
            <v>1</v>
          </cell>
          <cell r="M1940">
            <v>3</v>
          </cell>
        </row>
        <row r="1941">
          <cell r="A1941">
            <v>4</v>
          </cell>
          <cell r="B1941">
            <v>2003</v>
          </cell>
          <cell r="C1941">
            <v>1</v>
          </cell>
          <cell r="D1941" t="str">
            <v>Service-Devt</v>
          </cell>
          <cell r="E1941" t="str">
            <v>Unknown</v>
          </cell>
          <cell r="F1941" t="str">
            <v>Conventional</v>
          </cell>
          <cell r="G1941">
            <v>0</v>
          </cell>
          <cell r="H1941" t="str">
            <v>Service/Storage</v>
          </cell>
          <cell r="I1941" t="str">
            <v>Unknown;Conventional;0;4</v>
          </cell>
          <cell r="J1941" t="str">
            <v>AB</v>
          </cell>
          <cell r="K1941" t="str">
            <v>Medium</v>
          </cell>
          <cell r="L1941">
            <v>3</v>
          </cell>
          <cell r="M1941">
            <v>31</v>
          </cell>
        </row>
        <row r="1942">
          <cell r="A1942">
            <v>4</v>
          </cell>
          <cell r="B1942">
            <v>2003</v>
          </cell>
          <cell r="C1942">
            <v>1</v>
          </cell>
          <cell r="D1942" t="str">
            <v>Service-Devt</v>
          </cell>
          <cell r="E1942" t="str">
            <v>Unknown</v>
          </cell>
          <cell r="F1942" t="str">
            <v>Conventional</v>
          </cell>
          <cell r="G1942">
            <v>0</v>
          </cell>
          <cell r="H1942" t="str">
            <v>Service/Storage</v>
          </cell>
          <cell r="I1942" t="str">
            <v>Unknown;Conventional;0;4</v>
          </cell>
          <cell r="J1942" t="str">
            <v>AB</v>
          </cell>
          <cell r="K1942" t="str">
            <v>Shallow</v>
          </cell>
          <cell r="L1942">
            <v>3</v>
          </cell>
          <cell r="M1942">
            <v>11</v>
          </cell>
        </row>
        <row r="1943">
          <cell r="A1943">
            <v>4</v>
          </cell>
          <cell r="B1943">
            <v>2004</v>
          </cell>
          <cell r="C1943">
            <v>1</v>
          </cell>
          <cell r="D1943" t="str">
            <v>Service-Devt</v>
          </cell>
          <cell r="E1943" t="str">
            <v>Unknown</v>
          </cell>
          <cell r="F1943" t="str">
            <v>Conventional</v>
          </cell>
          <cell r="G1943">
            <v>0</v>
          </cell>
          <cell r="H1943" t="str">
            <v>Service/Storage</v>
          </cell>
          <cell r="I1943" t="str">
            <v>Unknown;Conventional;0;4</v>
          </cell>
          <cell r="J1943" t="str">
            <v>AB</v>
          </cell>
          <cell r="K1943" t="str">
            <v>Deep</v>
          </cell>
          <cell r="L1943">
            <v>1</v>
          </cell>
          <cell r="M1943">
            <v>43</v>
          </cell>
        </row>
        <row r="1944">
          <cell r="A1944">
            <v>4</v>
          </cell>
          <cell r="B1944">
            <v>2004</v>
          </cell>
          <cell r="C1944">
            <v>1</v>
          </cell>
          <cell r="D1944" t="str">
            <v>Service-Devt</v>
          </cell>
          <cell r="E1944" t="str">
            <v>Unknown</v>
          </cell>
          <cell r="F1944" t="str">
            <v>Conventional</v>
          </cell>
          <cell r="G1944">
            <v>0</v>
          </cell>
          <cell r="H1944" t="str">
            <v>Service/Storage</v>
          </cell>
          <cell r="I1944" t="str">
            <v>Unknown;Conventional;0;4</v>
          </cell>
          <cell r="J1944" t="str">
            <v>AB</v>
          </cell>
          <cell r="K1944" t="str">
            <v>Medium</v>
          </cell>
          <cell r="L1944">
            <v>3</v>
          </cell>
          <cell r="M1944">
            <v>13</v>
          </cell>
        </row>
        <row r="1945">
          <cell r="A1945">
            <v>4</v>
          </cell>
          <cell r="B1945">
            <v>2004</v>
          </cell>
          <cell r="C1945">
            <v>1</v>
          </cell>
          <cell r="D1945" t="str">
            <v>Service-Devt</v>
          </cell>
          <cell r="E1945" t="str">
            <v>Unknown</v>
          </cell>
          <cell r="F1945" t="str">
            <v>Conventional</v>
          </cell>
          <cell r="G1945">
            <v>0</v>
          </cell>
          <cell r="H1945" t="str">
            <v>Service/Storage</v>
          </cell>
          <cell r="I1945" t="str">
            <v>Unknown;Conventional;0;4</v>
          </cell>
          <cell r="J1945" t="str">
            <v>AB</v>
          </cell>
          <cell r="K1945" t="str">
            <v>Shallow</v>
          </cell>
          <cell r="L1945">
            <v>3</v>
          </cell>
          <cell r="M1945">
            <v>17</v>
          </cell>
        </row>
        <row r="1946">
          <cell r="A1946">
            <v>4</v>
          </cell>
          <cell r="B1946">
            <v>2004</v>
          </cell>
          <cell r="C1946">
            <v>2</v>
          </cell>
          <cell r="D1946" t="str">
            <v>Service-Devt</v>
          </cell>
          <cell r="E1946" t="str">
            <v>Unknown</v>
          </cell>
          <cell r="F1946" t="str">
            <v>Conventional</v>
          </cell>
          <cell r="G1946">
            <v>0</v>
          </cell>
          <cell r="H1946" t="str">
            <v>Service/Storage</v>
          </cell>
          <cell r="I1946" t="str">
            <v>Unknown;Conventional;0;4</v>
          </cell>
          <cell r="J1946" t="str">
            <v>AB</v>
          </cell>
          <cell r="K1946" t="str">
            <v>Shallow</v>
          </cell>
          <cell r="L1946">
            <v>1</v>
          </cell>
          <cell r="M1946">
            <v>2</v>
          </cell>
        </row>
        <row r="1947">
          <cell r="A1947">
            <v>4</v>
          </cell>
          <cell r="B1947">
            <v>2005</v>
          </cell>
          <cell r="C1947">
            <v>1</v>
          </cell>
          <cell r="D1947" t="str">
            <v>Service-Devt</v>
          </cell>
          <cell r="E1947" t="str">
            <v>Unknown</v>
          </cell>
          <cell r="F1947" t="str">
            <v>Conventional</v>
          </cell>
          <cell r="G1947">
            <v>0</v>
          </cell>
          <cell r="H1947" t="str">
            <v>Service/Storage</v>
          </cell>
          <cell r="I1947" t="str">
            <v>Unknown;Conventional;0;4</v>
          </cell>
          <cell r="J1947" t="str">
            <v>AB</v>
          </cell>
          <cell r="K1947" t="str">
            <v>Medium</v>
          </cell>
          <cell r="L1947">
            <v>1</v>
          </cell>
          <cell r="M1947">
            <v>3</v>
          </cell>
        </row>
        <row r="1948">
          <cell r="A1948">
            <v>4</v>
          </cell>
          <cell r="B1948">
            <v>2005</v>
          </cell>
          <cell r="C1948">
            <v>1</v>
          </cell>
          <cell r="D1948" t="str">
            <v>Service-Devt</v>
          </cell>
          <cell r="E1948" t="str">
            <v>Unknown</v>
          </cell>
          <cell r="F1948" t="str">
            <v>Conventional</v>
          </cell>
          <cell r="G1948">
            <v>0</v>
          </cell>
          <cell r="H1948" t="str">
            <v>Service/Storage</v>
          </cell>
          <cell r="I1948" t="str">
            <v>Unknown;Conventional;0;4</v>
          </cell>
          <cell r="J1948" t="str">
            <v>AB</v>
          </cell>
          <cell r="K1948" t="str">
            <v>Shallow</v>
          </cell>
          <cell r="L1948">
            <v>3</v>
          </cell>
          <cell r="M1948">
            <v>12</v>
          </cell>
        </row>
        <row r="1949">
          <cell r="A1949">
            <v>5</v>
          </cell>
          <cell r="B1949">
            <v>2000</v>
          </cell>
          <cell r="C1949">
            <v>1</v>
          </cell>
          <cell r="D1949" t="str">
            <v>Service-Devt</v>
          </cell>
          <cell r="E1949" t="str">
            <v>Unknown</v>
          </cell>
          <cell r="F1949" t="str">
            <v>Conventional</v>
          </cell>
          <cell r="G1949">
            <v>0</v>
          </cell>
          <cell r="H1949" t="str">
            <v>Service/Storage</v>
          </cell>
          <cell r="I1949" t="str">
            <v>Unknown;Conventional;0;5</v>
          </cell>
          <cell r="J1949" t="str">
            <v>AB</v>
          </cell>
          <cell r="K1949" t="str">
            <v>Medium</v>
          </cell>
          <cell r="L1949">
            <v>1</v>
          </cell>
          <cell r="M1949">
            <v>7</v>
          </cell>
        </row>
        <row r="1950">
          <cell r="A1950">
            <v>5</v>
          </cell>
          <cell r="B1950">
            <v>2000</v>
          </cell>
          <cell r="C1950">
            <v>1</v>
          </cell>
          <cell r="D1950" t="str">
            <v>Service-Devt</v>
          </cell>
          <cell r="E1950" t="str">
            <v>Unknown</v>
          </cell>
          <cell r="F1950" t="str">
            <v>Conventional</v>
          </cell>
          <cell r="G1950">
            <v>0</v>
          </cell>
          <cell r="H1950" t="str">
            <v>Service/Storage</v>
          </cell>
          <cell r="I1950" t="str">
            <v>Unknown;Conventional;0;5</v>
          </cell>
          <cell r="J1950" t="str">
            <v>AB</v>
          </cell>
          <cell r="K1950" t="str">
            <v>Shallow</v>
          </cell>
          <cell r="L1950">
            <v>1</v>
          </cell>
          <cell r="M1950">
            <v>5</v>
          </cell>
        </row>
        <row r="1951">
          <cell r="A1951">
            <v>5</v>
          </cell>
          <cell r="B1951">
            <v>2000</v>
          </cell>
          <cell r="C1951">
            <v>2</v>
          </cell>
          <cell r="D1951" t="str">
            <v>Service-Devt</v>
          </cell>
          <cell r="E1951" t="str">
            <v>Unknown</v>
          </cell>
          <cell r="F1951" t="str">
            <v>Conventional</v>
          </cell>
          <cell r="G1951">
            <v>0</v>
          </cell>
          <cell r="H1951" t="str">
            <v>Service/Storage</v>
          </cell>
          <cell r="I1951" t="str">
            <v>Unknown;Conventional;0;5</v>
          </cell>
          <cell r="J1951" t="str">
            <v>AB</v>
          </cell>
          <cell r="K1951" t="str">
            <v>Medium</v>
          </cell>
          <cell r="L1951">
            <v>1</v>
          </cell>
          <cell r="M1951">
            <v>6</v>
          </cell>
        </row>
        <row r="1952">
          <cell r="A1952">
            <v>5</v>
          </cell>
          <cell r="B1952">
            <v>2002</v>
          </cell>
          <cell r="C1952">
            <v>1</v>
          </cell>
          <cell r="D1952" t="str">
            <v>Service-Devt</v>
          </cell>
          <cell r="E1952" t="str">
            <v>Unknown</v>
          </cell>
          <cell r="F1952" t="str">
            <v>Conventional</v>
          </cell>
          <cell r="G1952">
            <v>0</v>
          </cell>
          <cell r="H1952" t="str">
            <v>Service/Storage</v>
          </cell>
          <cell r="I1952" t="str">
            <v>Unknown;Conventional;0;5</v>
          </cell>
          <cell r="J1952" t="str">
            <v>AB</v>
          </cell>
          <cell r="K1952" t="str">
            <v>Shallow</v>
          </cell>
          <cell r="L1952">
            <v>1</v>
          </cell>
          <cell r="M1952">
            <v>9.5</v>
          </cell>
        </row>
        <row r="1953">
          <cell r="A1953">
            <v>5</v>
          </cell>
          <cell r="B1953">
            <v>2002</v>
          </cell>
          <cell r="C1953">
            <v>2</v>
          </cell>
          <cell r="D1953" t="str">
            <v>Service-Devt</v>
          </cell>
          <cell r="E1953" t="str">
            <v>Unknown</v>
          </cell>
          <cell r="F1953" t="str">
            <v>Conventional</v>
          </cell>
          <cell r="G1953">
            <v>0</v>
          </cell>
          <cell r="H1953" t="str">
            <v>Service/Storage</v>
          </cell>
          <cell r="I1953" t="str">
            <v>Unknown;Conventional;0;5</v>
          </cell>
          <cell r="J1953" t="str">
            <v>AB</v>
          </cell>
          <cell r="K1953" t="str">
            <v>Medium</v>
          </cell>
          <cell r="L1953">
            <v>1</v>
          </cell>
          <cell r="M1953">
            <v>22</v>
          </cell>
        </row>
        <row r="1954">
          <cell r="A1954">
            <v>5</v>
          </cell>
          <cell r="B1954">
            <v>2002</v>
          </cell>
          <cell r="C1954">
            <v>2</v>
          </cell>
          <cell r="D1954" t="str">
            <v>Service-Devt</v>
          </cell>
          <cell r="E1954" t="str">
            <v>Unknown</v>
          </cell>
          <cell r="F1954" t="str">
            <v>Conventional</v>
          </cell>
          <cell r="G1954">
            <v>0</v>
          </cell>
          <cell r="H1954" t="str">
            <v>Service/Storage</v>
          </cell>
          <cell r="I1954" t="str">
            <v>Unknown;Conventional;0;5</v>
          </cell>
          <cell r="J1954" t="str">
            <v>AB</v>
          </cell>
          <cell r="K1954" t="str">
            <v>Shallow</v>
          </cell>
          <cell r="L1954">
            <v>1</v>
          </cell>
          <cell r="M1954">
            <v>13</v>
          </cell>
        </row>
        <row r="1955">
          <cell r="A1955">
            <v>5</v>
          </cell>
          <cell r="B1955">
            <v>2003</v>
          </cell>
          <cell r="C1955">
            <v>1</v>
          </cell>
          <cell r="D1955" t="str">
            <v>Service-Devt</v>
          </cell>
          <cell r="E1955" t="str">
            <v>Unknown</v>
          </cell>
          <cell r="F1955" t="str">
            <v>Conventional</v>
          </cell>
          <cell r="G1955">
            <v>0</v>
          </cell>
          <cell r="H1955" t="str">
            <v>Service/Storage</v>
          </cell>
          <cell r="I1955" t="str">
            <v>Unknown;Conventional;0;5</v>
          </cell>
          <cell r="J1955" t="str">
            <v>AB</v>
          </cell>
          <cell r="K1955" t="str">
            <v>Medium</v>
          </cell>
          <cell r="L1955">
            <v>2</v>
          </cell>
          <cell r="M1955">
            <v>25</v>
          </cell>
        </row>
        <row r="1956">
          <cell r="A1956">
            <v>5</v>
          </cell>
          <cell r="B1956">
            <v>2003</v>
          </cell>
          <cell r="C1956">
            <v>2</v>
          </cell>
          <cell r="D1956" t="str">
            <v>Service-Devt</v>
          </cell>
          <cell r="E1956" t="str">
            <v>Unknown</v>
          </cell>
          <cell r="F1956" t="str">
            <v>Conventional</v>
          </cell>
          <cell r="G1956">
            <v>0</v>
          </cell>
          <cell r="H1956" t="str">
            <v>Service/Storage</v>
          </cell>
          <cell r="I1956" t="str">
            <v>Unknown;Conventional;0;5</v>
          </cell>
          <cell r="J1956" t="str">
            <v>AB</v>
          </cell>
          <cell r="K1956" t="str">
            <v>Deep</v>
          </cell>
          <cell r="L1956">
            <v>1</v>
          </cell>
          <cell r="M1956">
            <v>7.5</v>
          </cell>
        </row>
        <row r="1957">
          <cell r="A1957">
            <v>5</v>
          </cell>
          <cell r="B1957">
            <v>2004</v>
          </cell>
          <cell r="C1957">
            <v>1</v>
          </cell>
          <cell r="D1957" t="str">
            <v>Service-Devt</v>
          </cell>
          <cell r="E1957" t="str">
            <v>Unknown</v>
          </cell>
          <cell r="F1957" t="str">
            <v>Conventional</v>
          </cell>
          <cell r="G1957">
            <v>0</v>
          </cell>
          <cell r="H1957" t="str">
            <v>Service/Storage</v>
          </cell>
          <cell r="I1957" t="str">
            <v>Unknown;Conventional;0;5</v>
          </cell>
          <cell r="J1957" t="str">
            <v>AB</v>
          </cell>
          <cell r="K1957" t="str">
            <v>Medium</v>
          </cell>
          <cell r="L1957">
            <v>1</v>
          </cell>
          <cell r="M1957">
            <v>5</v>
          </cell>
        </row>
        <row r="1958">
          <cell r="A1958">
            <v>5</v>
          </cell>
          <cell r="B1958">
            <v>2004</v>
          </cell>
          <cell r="C1958">
            <v>1</v>
          </cell>
          <cell r="D1958" t="str">
            <v>Service-Devt</v>
          </cell>
          <cell r="E1958" t="str">
            <v>Unknown</v>
          </cell>
          <cell r="F1958" t="str">
            <v>Conventional</v>
          </cell>
          <cell r="G1958">
            <v>0</v>
          </cell>
          <cell r="H1958" t="str">
            <v>Service/Storage</v>
          </cell>
          <cell r="I1958" t="str">
            <v>Unknown;Conventional;0;5</v>
          </cell>
          <cell r="J1958" t="str">
            <v>AB</v>
          </cell>
          <cell r="K1958" t="str">
            <v>Shallow</v>
          </cell>
          <cell r="L1958">
            <v>1</v>
          </cell>
          <cell r="M1958">
            <v>16.75</v>
          </cell>
        </row>
        <row r="1959">
          <cell r="A1959">
            <v>5</v>
          </cell>
          <cell r="B1959">
            <v>2005</v>
          </cell>
          <cell r="C1959">
            <v>1</v>
          </cell>
          <cell r="D1959" t="str">
            <v>Service-Devt</v>
          </cell>
          <cell r="E1959" t="str">
            <v>Unknown</v>
          </cell>
          <cell r="F1959" t="str">
            <v>Conventional</v>
          </cell>
          <cell r="G1959">
            <v>0</v>
          </cell>
          <cell r="H1959" t="str">
            <v>Service/Storage</v>
          </cell>
          <cell r="I1959" t="str">
            <v>Unknown;Conventional;0;5</v>
          </cell>
          <cell r="J1959" t="str">
            <v>AB</v>
          </cell>
          <cell r="K1959" t="str">
            <v>Medium</v>
          </cell>
          <cell r="L1959">
            <v>6</v>
          </cell>
          <cell r="M1959">
            <v>17.258241599999998</v>
          </cell>
        </row>
        <row r="1960">
          <cell r="A1960">
            <v>5</v>
          </cell>
          <cell r="B1960">
            <v>2005</v>
          </cell>
          <cell r="C1960">
            <v>1</v>
          </cell>
          <cell r="D1960" t="str">
            <v>Service-Devt</v>
          </cell>
          <cell r="E1960" t="str">
            <v>Unknown</v>
          </cell>
          <cell r="F1960" t="str">
            <v>Conventional</v>
          </cell>
          <cell r="G1960">
            <v>0</v>
          </cell>
          <cell r="H1960" t="str">
            <v>Service/Storage</v>
          </cell>
          <cell r="I1960" t="str">
            <v>Unknown;Conventional;0;5</v>
          </cell>
          <cell r="J1960" t="str">
            <v>AB</v>
          </cell>
          <cell r="K1960" t="str">
            <v>Shallow</v>
          </cell>
          <cell r="L1960">
            <v>2</v>
          </cell>
          <cell r="M1960">
            <v>9</v>
          </cell>
        </row>
        <row r="1961">
          <cell r="A1961">
            <v>5</v>
          </cell>
          <cell r="B1961">
            <v>2006</v>
          </cell>
          <cell r="C1961">
            <v>1</v>
          </cell>
          <cell r="D1961" t="str">
            <v>Service-Devt</v>
          </cell>
          <cell r="E1961" t="str">
            <v>Unknown</v>
          </cell>
          <cell r="F1961" t="str">
            <v>Conventional</v>
          </cell>
          <cell r="G1961">
            <v>0</v>
          </cell>
          <cell r="H1961" t="str">
            <v>Service/Storage</v>
          </cell>
          <cell r="I1961" t="str">
            <v>Unknown;Conventional;0;5</v>
          </cell>
          <cell r="J1961" t="str">
            <v>AB</v>
          </cell>
          <cell r="K1961" t="str">
            <v>Medium</v>
          </cell>
          <cell r="L1961">
            <v>6</v>
          </cell>
          <cell r="M1961">
            <v>39.799999999999997</v>
          </cell>
        </row>
        <row r="1962">
          <cell r="A1962">
            <v>5</v>
          </cell>
          <cell r="B1962">
            <v>2006</v>
          </cell>
          <cell r="C1962">
            <v>1</v>
          </cell>
          <cell r="D1962" t="str">
            <v>Service-Devt</v>
          </cell>
          <cell r="E1962" t="str">
            <v>Unknown</v>
          </cell>
          <cell r="F1962" t="str">
            <v>Conventional</v>
          </cell>
          <cell r="G1962">
            <v>0</v>
          </cell>
          <cell r="H1962" t="str">
            <v>Service/Storage</v>
          </cell>
          <cell r="I1962" t="str">
            <v>Unknown;Conventional;0;5</v>
          </cell>
          <cell r="J1962" t="str">
            <v>AB</v>
          </cell>
          <cell r="K1962" t="str">
            <v>Shallow</v>
          </cell>
          <cell r="L1962">
            <v>1</v>
          </cell>
          <cell r="M1962">
            <v>1.372619</v>
          </cell>
        </row>
        <row r="1963">
          <cell r="A1963">
            <v>5</v>
          </cell>
          <cell r="B1963">
            <v>2006</v>
          </cell>
          <cell r="C1963">
            <v>2</v>
          </cell>
          <cell r="D1963" t="str">
            <v>Service-Devt</v>
          </cell>
          <cell r="E1963" t="str">
            <v>Unknown</v>
          </cell>
          <cell r="F1963" t="str">
            <v>Conventional</v>
          </cell>
          <cell r="G1963">
            <v>0</v>
          </cell>
          <cell r="H1963" t="str">
            <v>Service/Storage</v>
          </cell>
          <cell r="I1963" t="str">
            <v>Unknown;Conventional;0;5</v>
          </cell>
          <cell r="J1963" t="str">
            <v>AB</v>
          </cell>
          <cell r="K1963" t="str">
            <v>Shallow</v>
          </cell>
          <cell r="L1963">
            <v>1</v>
          </cell>
          <cell r="M1963">
            <v>4</v>
          </cell>
        </row>
        <row r="1964">
          <cell r="A1964">
            <v>6</v>
          </cell>
          <cell r="B1964">
            <v>2000</v>
          </cell>
          <cell r="C1964">
            <v>1</v>
          </cell>
          <cell r="D1964" t="str">
            <v>Service-Devt</v>
          </cell>
          <cell r="E1964" t="str">
            <v>Unknown</v>
          </cell>
          <cell r="F1964" t="str">
            <v>Conventional</v>
          </cell>
          <cell r="G1964">
            <v>0</v>
          </cell>
          <cell r="H1964" t="str">
            <v>Service/Storage</v>
          </cell>
          <cell r="I1964" t="str">
            <v>Unknown;Conventional;0;6</v>
          </cell>
          <cell r="J1964" t="str">
            <v>AB</v>
          </cell>
          <cell r="K1964" t="str">
            <v>DEEP</v>
          </cell>
          <cell r="L1964">
            <v>4</v>
          </cell>
          <cell r="M1964">
            <v>12.5</v>
          </cell>
        </row>
        <row r="1965">
          <cell r="A1965">
            <v>6</v>
          </cell>
          <cell r="B1965">
            <v>2000</v>
          </cell>
          <cell r="C1965">
            <v>1</v>
          </cell>
          <cell r="D1965" t="str">
            <v>Service-Devt</v>
          </cell>
          <cell r="E1965" t="str">
            <v>Unknown</v>
          </cell>
          <cell r="F1965" t="str">
            <v>Conventional</v>
          </cell>
          <cell r="G1965">
            <v>0</v>
          </cell>
          <cell r="H1965" t="str">
            <v>Service/Storage</v>
          </cell>
          <cell r="I1965" t="str">
            <v>Unknown;Conventional;0;6</v>
          </cell>
          <cell r="J1965" t="str">
            <v>AB</v>
          </cell>
          <cell r="K1965" t="str">
            <v>Medium</v>
          </cell>
          <cell r="L1965">
            <v>2</v>
          </cell>
          <cell r="M1965">
            <v>17.33333</v>
          </cell>
        </row>
        <row r="1966">
          <cell r="A1966">
            <v>6</v>
          </cell>
          <cell r="B1966">
            <v>2000</v>
          </cell>
          <cell r="C1966">
            <v>1</v>
          </cell>
          <cell r="D1966" t="str">
            <v>Service-Devt</v>
          </cell>
          <cell r="E1966" t="str">
            <v>Unknown</v>
          </cell>
          <cell r="F1966" t="str">
            <v>Conventional</v>
          </cell>
          <cell r="G1966">
            <v>0</v>
          </cell>
          <cell r="H1966" t="str">
            <v>Service/Storage</v>
          </cell>
          <cell r="I1966" t="str">
            <v>Unknown;Conventional;0;6</v>
          </cell>
          <cell r="J1966" t="str">
            <v>AB</v>
          </cell>
          <cell r="K1966" t="str">
            <v>SHALLOW</v>
          </cell>
          <cell r="L1966">
            <v>30</v>
          </cell>
          <cell r="M1966">
            <v>92.33333300000001</v>
          </cell>
        </row>
        <row r="1967">
          <cell r="A1967">
            <v>6</v>
          </cell>
          <cell r="B1967">
            <v>2000</v>
          </cell>
          <cell r="C1967">
            <v>2</v>
          </cell>
          <cell r="D1967" t="str">
            <v>Service-Devt</v>
          </cell>
          <cell r="E1967" t="str">
            <v>Unknown</v>
          </cell>
          <cell r="F1967" t="str">
            <v>Conventional</v>
          </cell>
          <cell r="G1967">
            <v>0</v>
          </cell>
          <cell r="H1967" t="str">
            <v>Service/Storage</v>
          </cell>
          <cell r="I1967" t="str">
            <v>Unknown;Conventional;0;6</v>
          </cell>
          <cell r="J1967" t="str">
            <v>AB</v>
          </cell>
          <cell r="K1967" t="str">
            <v>Shallow</v>
          </cell>
          <cell r="L1967">
            <v>3</v>
          </cell>
          <cell r="M1967">
            <v>11</v>
          </cell>
        </row>
        <row r="1968">
          <cell r="A1968">
            <v>6</v>
          </cell>
          <cell r="B1968">
            <v>2001</v>
          </cell>
          <cell r="C1968">
            <v>1</v>
          </cell>
          <cell r="D1968" t="str">
            <v>Service-Devt</v>
          </cell>
          <cell r="E1968" t="str">
            <v>Unknown</v>
          </cell>
          <cell r="F1968" t="str">
            <v>Conventional</v>
          </cell>
          <cell r="G1968">
            <v>0</v>
          </cell>
          <cell r="H1968" t="str">
            <v>Service/Storage</v>
          </cell>
          <cell r="I1968" t="str">
            <v>Unknown;Conventional;0;6</v>
          </cell>
          <cell r="J1968" t="str">
            <v>AB</v>
          </cell>
          <cell r="K1968" t="str">
            <v>Medium</v>
          </cell>
          <cell r="L1968">
            <v>1</v>
          </cell>
          <cell r="M1968">
            <v>1</v>
          </cell>
        </row>
        <row r="1969">
          <cell r="A1969">
            <v>6</v>
          </cell>
          <cell r="B1969">
            <v>2001</v>
          </cell>
          <cell r="C1969">
            <v>1</v>
          </cell>
          <cell r="D1969" t="str">
            <v>Service-Devt</v>
          </cell>
          <cell r="E1969" t="str">
            <v>Unknown</v>
          </cell>
          <cell r="F1969" t="str">
            <v>Conventional</v>
          </cell>
          <cell r="G1969">
            <v>0</v>
          </cell>
          <cell r="H1969" t="str">
            <v>Service/Storage</v>
          </cell>
          <cell r="I1969" t="str">
            <v>Unknown;Conventional;0;6</v>
          </cell>
          <cell r="J1969" t="str">
            <v>AB</v>
          </cell>
          <cell r="K1969" t="str">
            <v>Shallow</v>
          </cell>
          <cell r="L1969">
            <v>16</v>
          </cell>
          <cell r="M1969">
            <v>160.66666699999999</v>
          </cell>
        </row>
        <row r="1970">
          <cell r="A1970">
            <v>6</v>
          </cell>
          <cell r="B1970">
            <v>2002</v>
          </cell>
          <cell r="C1970">
            <v>1</v>
          </cell>
          <cell r="D1970" t="str">
            <v>Service-Devt</v>
          </cell>
          <cell r="E1970" t="str">
            <v>Unknown</v>
          </cell>
          <cell r="F1970" t="str">
            <v>Conventional</v>
          </cell>
          <cell r="G1970">
            <v>0</v>
          </cell>
          <cell r="H1970" t="str">
            <v>Service/Storage</v>
          </cell>
          <cell r="I1970" t="str">
            <v>Unknown;Conventional;0;6</v>
          </cell>
          <cell r="J1970" t="str">
            <v>AB</v>
          </cell>
          <cell r="K1970" t="str">
            <v>Deep</v>
          </cell>
          <cell r="L1970">
            <v>5</v>
          </cell>
          <cell r="M1970">
            <v>42.611111099999995</v>
          </cell>
        </row>
        <row r="1971">
          <cell r="A1971">
            <v>6</v>
          </cell>
          <cell r="B1971">
            <v>2002</v>
          </cell>
          <cell r="C1971">
            <v>1</v>
          </cell>
          <cell r="D1971" t="str">
            <v>Service-Devt</v>
          </cell>
          <cell r="E1971" t="str">
            <v>Unknown</v>
          </cell>
          <cell r="F1971" t="str">
            <v>Conventional</v>
          </cell>
          <cell r="G1971">
            <v>0</v>
          </cell>
          <cell r="H1971" t="str">
            <v>Service/Storage</v>
          </cell>
          <cell r="I1971" t="str">
            <v>Unknown;Conventional;0;6</v>
          </cell>
          <cell r="J1971" t="str">
            <v>AB</v>
          </cell>
          <cell r="K1971" t="str">
            <v>Medium</v>
          </cell>
          <cell r="L1971">
            <v>4</v>
          </cell>
          <cell r="M1971">
            <v>5</v>
          </cell>
        </row>
        <row r="1972">
          <cell r="A1972">
            <v>6</v>
          </cell>
          <cell r="B1972">
            <v>2002</v>
          </cell>
          <cell r="C1972">
            <v>1</v>
          </cell>
          <cell r="D1972" t="str">
            <v>Service-Devt</v>
          </cell>
          <cell r="E1972" t="str">
            <v>Unknown</v>
          </cell>
          <cell r="F1972" t="str">
            <v>Conventional</v>
          </cell>
          <cell r="G1972">
            <v>0</v>
          </cell>
          <cell r="H1972" t="str">
            <v>Service/Storage</v>
          </cell>
          <cell r="I1972" t="str">
            <v>Unknown;Conventional;0;6</v>
          </cell>
          <cell r="J1972" t="str">
            <v>AB</v>
          </cell>
          <cell r="K1972" t="str">
            <v>Shallow</v>
          </cell>
          <cell r="L1972">
            <v>13</v>
          </cell>
          <cell r="M1972">
            <v>58</v>
          </cell>
        </row>
        <row r="1973">
          <cell r="A1973">
            <v>6</v>
          </cell>
          <cell r="B1973">
            <v>2003</v>
          </cell>
          <cell r="C1973">
            <v>1</v>
          </cell>
          <cell r="D1973" t="str">
            <v>Service-Devt</v>
          </cell>
          <cell r="E1973" t="str">
            <v>Unknown</v>
          </cell>
          <cell r="F1973" t="str">
            <v>Conventional</v>
          </cell>
          <cell r="G1973">
            <v>0</v>
          </cell>
          <cell r="H1973" t="str">
            <v>Service/Storage</v>
          </cell>
          <cell r="I1973" t="str">
            <v>Unknown;Conventional;0;6</v>
          </cell>
          <cell r="J1973" t="str">
            <v>AB</v>
          </cell>
          <cell r="K1973" t="str">
            <v>Medium</v>
          </cell>
          <cell r="L1973">
            <v>4</v>
          </cell>
          <cell r="M1973">
            <v>10.75</v>
          </cell>
        </row>
        <row r="1974">
          <cell r="A1974">
            <v>6</v>
          </cell>
          <cell r="B1974">
            <v>2003</v>
          </cell>
          <cell r="C1974">
            <v>1</v>
          </cell>
          <cell r="D1974" t="str">
            <v>Service-Devt</v>
          </cell>
          <cell r="E1974" t="str">
            <v>Unknown</v>
          </cell>
          <cell r="F1974" t="str">
            <v>Conventional</v>
          </cell>
          <cell r="G1974">
            <v>0</v>
          </cell>
          <cell r="H1974" t="str">
            <v>Service/Storage</v>
          </cell>
          <cell r="I1974" t="str">
            <v>Unknown;Conventional;0;6</v>
          </cell>
          <cell r="J1974" t="str">
            <v>AB</v>
          </cell>
          <cell r="K1974" t="str">
            <v>Shallow</v>
          </cell>
          <cell r="L1974">
            <v>14</v>
          </cell>
          <cell r="M1974">
            <v>46.7916667</v>
          </cell>
        </row>
        <row r="1975">
          <cell r="A1975">
            <v>6</v>
          </cell>
          <cell r="B1975">
            <v>2004</v>
          </cell>
          <cell r="C1975">
            <v>1</v>
          </cell>
          <cell r="D1975" t="str">
            <v>Service-Devt</v>
          </cell>
          <cell r="E1975" t="str">
            <v>Unknown</v>
          </cell>
          <cell r="F1975" t="str">
            <v>Conventional</v>
          </cell>
          <cell r="G1975">
            <v>0</v>
          </cell>
          <cell r="H1975" t="str">
            <v>Service/Storage</v>
          </cell>
          <cell r="I1975" t="str">
            <v>Unknown;Conventional;0;6</v>
          </cell>
          <cell r="J1975" t="str">
            <v>AB</v>
          </cell>
          <cell r="K1975" t="str">
            <v>Deep</v>
          </cell>
          <cell r="L1975">
            <v>1</v>
          </cell>
          <cell r="M1975">
            <v>0.2</v>
          </cell>
        </row>
        <row r="1976">
          <cell r="A1976">
            <v>6</v>
          </cell>
          <cell r="B1976">
            <v>2004</v>
          </cell>
          <cell r="C1976">
            <v>1</v>
          </cell>
          <cell r="D1976" t="str">
            <v>Service-Devt</v>
          </cell>
          <cell r="E1976" t="str">
            <v>Unknown</v>
          </cell>
          <cell r="F1976" t="str">
            <v>Conventional</v>
          </cell>
          <cell r="G1976">
            <v>0</v>
          </cell>
          <cell r="H1976" t="str">
            <v>Service/Storage</v>
          </cell>
          <cell r="I1976" t="str">
            <v>Unknown;Conventional;0;6</v>
          </cell>
          <cell r="J1976" t="str">
            <v>AB</v>
          </cell>
          <cell r="K1976" t="str">
            <v>Medium</v>
          </cell>
          <cell r="L1976">
            <v>4</v>
          </cell>
          <cell r="M1976">
            <v>6</v>
          </cell>
        </row>
        <row r="1977">
          <cell r="A1977">
            <v>6</v>
          </cell>
          <cell r="B1977">
            <v>2004</v>
          </cell>
          <cell r="C1977">
            <v>1</v>
          </cell>
          <cell r="D1977" t="str">
            <v>Service-Devt</v>
          </cell>
          <cell r="E1977" t="str">
            <v>Unknown</v>
          </cell>
          <cell r="F1977" t="str">
            <v>Conventional</v>
          </cell>
          <cell r="G1977">
            <v>0</v>
          </cell>
          <cell r="H1977" t="str">
            <v>Service/Storage</v>
          </cell>
          <cell r="I1977" t="str">
            <v>Unknown;Conventional;0;6</v>
          </cell>
          <cell r="J1977" t="str">
            <v>AB</v>
          </cell>
          <cell r="K1977" t="str">
            <v>Shallow</v>
          </cell>
          <cell r="L1977">
            <v>4</v>
          </cell>
          <cell r="M1977">
            <v>10.6666667</v>
          </cell>
        </row>
        <row r="1978">
          <cell r="A1978">
            <v>6</v>
          </cell>
          <cell r="B1978">
            <v>2005</v>
          </cell>
          <cell r="C1978">
            <v>1</v>
          </cell>
          <cell r="D1978" t="str">
            <v>Service-Devt</v>
          </cell>
          <cell r="E1978" t="str">
            <v>Unknown</v>
          </cell>
          <cell r="F1978" t="str">
            <v>Conventional</v>
          </cell>
          <cell r="G1978">
            <v>0</v>
          </cell>
          <cell r="H1978" t="str">
            <v>Service/Storage</v>
          </cell>
          <cell r="I1978" t="str">
            <v>Unknown;Conventional;0;6</v>
          </cell>
          <cell r="J1978" t="str">
            <v>AB</v>
          </cell>
          <cell r="K1978" t="str">
            <v>Medium</v>
          </cell>
          <cell r="L1978">
            <v>1</v>
          </cell>
          <cell r="M1978">
            <v>0.4</v>
          </cell>
        </row>
        <row r="1979">
          <cell r="A1979">
            <v>6</v>
          </cell>
          <cell r="B1979">
            <v>2005</v>
          </cell>
          <cell r="C1979">
            <v>1</v>
          </cell>
          <cell r="D1979" t="str">
            <v>Service-Devt</v>
          </cell>
          <cell r="E1979" t="str">
            <v>Unknown</v>
          </cell>
          <cell r="F1979" t="str">
            <v>Conventional</v>
          </cell>
          <cell r="G1979">
            <v>0</v>
          </cell>
          <cell r="H1979" t="str">
            <v>Service/Storage</v>
          </cell>
          <cell r="I1979" t="str">
            <v>Unknown;Conventional;0;6</v>
          </cell>
          <cell r="J1979" t="str">
            <v>AB</v>
          </cell>
          <cell r="K1979" t="str">
            <v>Shallow</v>
          </cell>
          <cell r="L1979">
            <v>12</v>
          </cell>
          <cell r="M1979">
            <v>50.5</v>
          </cell>
        </row>
        <row r="1980">
          <cell r="A1980">
            <v>6</v>
          </cell>
          <cell r="B1980">
            <v>2006</v>
          </cell>
          <cell r="C1980">
            <v>1</v>
          </cell>
          <cell r="D1980" t="str">
            <v>Service-Devt</v>
          </cell>
          <cell r="E1980" t="str">
            <v>Unknown</v>
          </cell>
          <cell r="F1980" t="str">
            <v>Conventional</v>
          </cell>
          <cell r="G1980">
            <v>0</v>
          </cell>
          <cell r="H1980" t="str">
            <v>Service/Storage</v>
          </cell>
          <cell r="I1980" t="str">
            <v>Unknown;Conventional;0;6</v>
          </cell>
          <cell r="J1980" t="str">
            <v>AB</v>
          </cell>
          <cell r="K1980" t="str">
            <v>Deep</v>
          </cell>
          <cell r="L1980">
            <v>1</v>
          </cell>
          <cell r="M1980">
            <v>0.5</v>
          </cell>
        </row>
        <row r="1981">
          <cell r="A1981">
            <v>6</v>
          </cell>
          <cell r="B1981">
            <v>2006</v>
          </cell>
          <cell r="C1981">
            <v>1</v>
          </cell>
          <cell r="D1981" t="str">
            <v>Service-Devt</v>
          </cell>
          <cell r="E1981" t="str">
            <v>Unknown</v>
          </cell>
          <cell r="F1981" t="str">
            <v>Conventional</v>
          </cell>
          <cell r="G1981">
            <v>0</v>
          </cell>
          <cell r="H1981" t="str">
            <v>Service/Storage</v>
          </cell>
          <cell r="I1981" t="str">
            <v>Unknown;Conventional;0;6</v>
          </cell>
          <cell r="J1981" t="str">
            <v>AB</v>
          </cell>
          <cell r="K1981" t="str">
            <v>Medium</v>
          </cell>
          <cell r="L1981">
            <v>1</v>
          </cell>
          <cell r="M1981">
            <v>5</v>
          </cell>
        </row>
        <row r="1982">
          <cell r="A1982">
            <v>6</v>
          </cell>
          <cell r="B1982">
            <v>2006</v>
          </cell>
          <cell r="C1982">
            <v>1</v>
          </cell>
          <cell r="D1982" t="str">
            <v>Service-Devt</v>
          </cell>
          <cell r="E1982" t="str">
            <v>Unknown</v>
          </cell>
          <cell r="F1982" t="str">
            <v>Conventional</v>
          </cell>
          <cell r="G1982">
            <v>0</v>
          </cell>
          <cell r="H1982" t="str">
            <v>Service/Storage</v>
          </cell>
          <cell r="I1982" t="str">
            <v>Unknown;Conventional;0;6</v>
          </cell>
          <cell r="J1982" t="str">
            <v>AB</v>
          </cell>
          <cell r="K1982" t="str">
            <v>Shallow</v>
          </cell>
          <cell r="L1982">
            <v>16</v>
          </cell>
          <cell r="M1982">
            <v>37.200002999999995</v>
          </cell>
        </row>
        <row r="1983">
          <cell r="A1983">
            <v>7</v>
          </cell>
          <cell r="B1983">
            <v>2000</v>
          </cell>
          <cell r="C1983">
            <v>1</v>
          </cell>
          <cell r="D1983" t="str">
            <v>Service-Devt</v>
          </cell>
          <cell r="E1983" t="str">
            <v>Unknown</v>
          </cell>
          <cell r="F1983" t="str">
            <v>Conventional</v>
          </cell>
          <cell r="G1983">
            <v>0</v>
          </cell>
          <cell r="H1983" t="str">
            <v>Service/Storage</v>
          </cell>
          <cell r="I1983" t="str">
            <v>Unknown;Conventional;0;7</v>
          </cell>
          <cell r="J1983" t="str">
            <v>AB</v>
          </cell>
          <cell r="K1983" t="str">
            <v>Medium</v>
          </cell>
          <cell r="L1983">
            <v>3</v>
          </cell>
          <cell r="M1983">
            <v>41</v>
          </cell>
        </row>
        <row r="1984">
          <cell r="A1984">
            <v>7</v>
          </cell>
          <cell r="B1984">
            <v>2000</v>
          </cell>
          <cell r="C1984">
            <v>1</v>
          </cell>
          <cell r="D1984" t="str">
            <v>Service-Devt</v>
          </cell>
          <cell r="E1984" t="str">
            <v>Unknown</v>
          </cell>
          <cell r="F1984" t="str">
            <v>Conventional</v>
          </cell>
          <cell r="G1984">
            <v>0</v>
          </cell>
          <cell r="H1984" t="str">
            <v>Service/Storage</v>
          </cell>
          <cell r="I1984" t="str">
            <v>Unknown;Conventional;0;7</v>
          </cell>
          <cell r="J1984" t="str">
            <v>AB</v>
          </cell>
          <cell r="K1984" t="str">
            <v>SHALLOW</v>
          </cell>
          <cell r="L1984">
            <v>4</v>
          </cell>
          <cell r="M1984">
            <v>30.961902000000002</v>
          </cell>
        </row>
        <row r="1985">
          <cell r="A1985">
            <v>7</v>
          </cell>
          <cell r="B1985">
            <v>2001</v>
          </cell>
          <cell r="C1985">
            <v>1</v>
          </cell>
          <cell r="D1985" t="str">
            <v>Service-Devt</v>
          </cell>
          <cell r="E1985" t="str">
            <v>Unknown</v>
          </cell>
          <cell r="F1985" t="str">
            <v>Conventional</v>
          </cell>
          <cell r="G1985">
            <v>0</v>
          </cell>
          <cell r="H1985" t="str">
            <v>Service/Storage</v>
          </cell>
          <cell r="I1985" t="str">
            <v>Unknown;Conventional;0;7</v>
          </cell>
          <cell r="J1985" t="str">
            <v>AB</v>
          </cell>
          <cell r="K1985" t="str">
            <v>DEEP</v>
          </cell>
          <cell r="L1985">
            <v>1</v>
          </cell>
          <cell r="M1985">
            <v>4</v>
          </cell>
        </row>
        <row r="1986">
          <cell r="A1986">
            <v>7</v>
          </cell>
          <cell r="B1986">
            <v>2001</v>
          </cell>
          <cell r="C1986">
            <v>1</v>
          </cell>
          <cell r="D1986" t="str">
            <v>Service-Devt</v>
          </cell>
          <cell r="E1986" t="str">
            <v>Unknown</v>
          </cell>
          <cell r="F1986" t="str">
            <v>Conventional</v>
          </cell>
          <cell r="G1986">
            <v>0</v>
          </cell>
          <cell r="H1986" t="str">
            <v>Service/Storage</v>
          </cell>
          <cell r="I1986" t="str">
            <v>Unknown;Conventional;0;7</v>
          </cell>
          <cell r="J1986" t="str">
            <v>AB</v>
          </cell>
          <cell r="K1986" t="str">
            <v>Medium</v>
          </cell>
          <cell r="L1986">
            <v>3</v>
          </cell>
          <cell r="M1986">
            <v>30</v>
          </cell>
        </row>
        <row r="1987">
          <cell r="A1987">
            <v>7</v>
          </cell>
          <cell r="B1987">
            <v>2001</v>
          </cell>
          <cell r="C1987">
            <v>1</v>
          </cell>
          <cell r="D1987" t="str">
            <v>Service-Devt</v>
          </cell>
          <cell r="E1987" t="str">
            <v>Unknown</v>
          </cell>
          <cell r="F1987" t="str">
            <v>Conventional</v>
          </cell>
          <cell r="G1987">
            <v>0</v>
          </cell>
          <cell r="H1987" t="str">
            <v>Service/Storage</v>
          </cell>
          <cell r="I1987" t="str">
            <v>Unknown;Conventional;0;7</v>
          </cell>
          <cell r="J1987" t="str">
            <v>AB</v>
          </cell>
          <cell r="K1987" t="str">
            <v>Shallow</v>
          </cell>
          <cell r="L1987">
            <v>5</v>
          </cell>
          <cell r="M1987">
            <v>32.033333300000002</v>
          </cell>
        </row>
        <row r="1988">
          <cell r="A1988">
            <v>7</v>
          </cell>
          <cell r="B1988">
            <v>2002</v>
          </cell>
          <cell r="C1988">
            <v>1</v>
          </cell>
          <cell r="D1988" t="str">
            <v>Service-Devt</v>
          </cell>
          <cell r="E1988" t="str">
            <v>Unknown</v>
          </cell>
          <cell r="F1988" t="str">
            <v>Conventional</v>
          </cell>
          <cell r="G1988">
            <v>0</v>
          </cell>
          <cell r="H1988" t="str">
            <v>Service/Storage</v>
          </cell>
          <cell r="I1988" t="str">
            <v>Unknown;Conventional;0;7</v>
          </cell>
          <cell r="J1988" t="str">
            <v>AB</v>
          </cell>
          <cell r="K1988" t="str">
            <v>Deep</v>
          </cell>
          <cell r="L1988">
            <v>1</v>
          </cell>
          <cell r="M1988">
            <v>58</v>
          </cell>
        </row>
        <row r="1989">
          <cell r="A1989">
            <v>7</v>
          </cell>
          <cell r="B1989">
            <v>2002</v>
          </cell>
          <cell r="C1989">
            <v>1</v>
          </cell>
          <cell r="D1989" t="str">
            <v>Service-Devt</v>
          </cell>
          <cell r="E1989" t="str">
            <v>Unknown</v>
          </cell>
          <cell r="F1989" t="str">
            <v>Conventional</v>
          </cell>
          <cell r="G1989">
            <v>0</v>
          </cell>
          <cell r="H1989" t="str">
            <v>Service/Storage</v>
          </cell>
          <cell r="I1989" t="str">
            <v>Unknown;Conventional;0;7</v>
          </cell>
          <cell r="J1989" t="str">
            <v>AB</v>
          </cell>
          <cell r="K1989" t="str">
            <v>Medium</v>
          </cell>
          <cell r="L1989">
            <v>2</v>
          </cell>
          <cell r="M1989">
            <v>15</v>
          </cell>
        </row>
        <row r="1990">
          <cell r="A1990">
            <v>7</v>
          </cell>
          <cell r="B1990">
            <v>2002</v>
          </cell>
          <cell r="C1990">
            <v>1</v>
          </cell>
          <cell r="D1990" t="str">
            <v>Service-Devt</v>
          </cell>
          <cell r="E1990" t="str">
            <v>Unknown</v>
          </cell>
          <cell r="F1990" t="str">
            <v>Conventional</v>
          </cell>
          <cell r="G1990">
            <v>0</v>
          </cell>
          <cell r="H1990" t="str">
            <v>Service/Storage</v>
          </cell>
          <cell r="I1990" t="str">
            <v>Unknown;Conventional;0;7</v>
          </cell>
          <cell r="J1990" t="str">
            <v>AB</v>
          </cell>
          <cell r="K1990" t="str">
            <v>Shallow</v>
          </cell>
          <cell r="L1990">
            <v>3</v>
          </cell>
          <cell r="M1990">
            <v>40.366669999999999</v>
          </cell>
        </row>
        <row r="1991">
          <cell r="A1991">
            <v>7</v>
          </cell>
          <cell r="B1991">
            <v>2003</v>
          </cell>
          <cell r="C1991">
            <v>1</v>
          </cell>
          <cell r="D1991" t="str">
            <v>Service-Devt</v>
          </cell>
          <cell r="E1991" t="str">
            <v>Unknown</v>
          </cell>
          <cell r="F1991" t="str">
            <v>Conventional</v>
          </cell>
          <cell r="G1991">
            <v>0</v>
          </cell>
          <cell r="H1991" t="str">
            <v>Service/Storage</v>
          </cell>
          <cell r="I1991" t="str">
            <v>Unknown;Conventional;0;7</v>
          </cell>
          <cell r="J1991" t="str">
            <v>AB</v>
          </cell>
          <cell r="K1991" t="str">
            <v>Medium</v>
          </cell>
          <cell r="L1991">
            <v>1</v>
          </cell>
          <cell r="M1991">
            <v>7</v>
          </cell>
        </row>
        <row r="1992">
          <cell r="A1992">
            <v>7</v>
          </cell>
          <cell r="B1992">
            <v>2003</v>
          </cell>
          <cell r="C1992">
            <v>1</v>
          </cell>
          <cell r="D1992" t="str">
            <v>Service-Devt</v>
          </cell>
          <cell r="E1992" t="str">
            <v>Unknown</v>
          </cell>
          <cell r="F1992" t="str">
            <v>Conventional</v>
          </cell>
          <cell r="G1992">
            <v>0</v>
          </cell>
          <cell r="H1992" t="str">
            <v>Service/Storage</v>
          </cell>
          <cell r="I1992" t="str">
            <v>Unknown;Conventional;0;7</v>
          </cell>
          <cell r="J1992" t="str">
            <v>AB</v>
          </cell>
          <cell r="K1992" t="str">
            <v>SHALLOW</v>
          </cell>
          <cell r="L1992">
            <v>4</v>
          </cell>
          <cell r="M1992">
            <v>7</v>
          </cell>
        </row>
        <row r="1993">
          <cell r="A1993">
            <v>7</v>
          </cell>
          <cell r="B1993">
            <v>2004</v>
          </cell>
          <cell r="C1993">
            <v>1</v>
          </cell>
          <cell r="D1993" t="str">
            <v>Service-Devt</v>
          </cell>
          <cell r="E1993" t="str">
            <v>Unknown</v>
          </cell>
          <cell r="F1993" t="str">
            <v>Conventional</v>
          </cell>
          <cell r="G1993">
            <v>0</v>
          </cell>
          <cell r="H1993" t="str">
            <v>Service/Storage</v>
          </cell>
          <cell r="I1993" t="str">
            <v>Unknown;Conventional;0;7</v>
          </cell>
          <cell r="J1993" t="str">
            <v>AB</v>
          </cell>
          <cell r="K1993" t="str">
            <v>MEDIUM</v>
          </cell>
          <cell r="L1993">
            <v>3</v>
          </cell>
          <cell r="M1993">
            <v>13</v>
          </cell>
        </row>
        <row r="1994">
          <cell r="A1994">
            <v>7</v>
          </cell>
          <cell r="B1994">
            <v>2004</v>
          </cell>
          <cell r="C1994">
            <v>2</v>
          </cell>
          <cell r="D1994" t="str">
            <v>Service-Devt</v>
          </cell>
          <cell r="E1994" t="str">
            <v>Unknown</v>
          </cell>
          <cell r="F1994" t="str">
            <v>Conventional</v>
          </cell>
          <cell r="G1994">
            <v>0</v>
          </cell>
          <cell r="H1994" t="str">
            <v>Service/Storage</v>
          </cell>
          <cell r="I1994" t="str">
            <v>Unknown;Conventional;0;7</v>
          </cell>
          <cell r="J1994" t="str">
            <v>AB</v>
          </cell>
          <cell r="K1994" t="str">
            <v>Medium</v>
          </cell>
          <cell r="L1994">
            <v>1</v>
          </cell>
          <cell r="M1994">
            <v>4</v>
          </cell>
        </row>
        <row r="1995">
          <cell r="A1995">
            <v>7</v>
          </cell>
          <cell r="B1995">
            <v>2005</v>
          </cell>
          <cell r="C1995">
            <v>1</v>
          </cell>
          <cell r="D1995" t="str">
            <v>Service-Devt</v>
          </cell>
          <cell r="E1995" t="str">
            <v>Unknown</v>
          </cell>
          <cell r="F1995" t="str">
            <v>Conventional</v>
          </cell>
          <cell r="G1995">
            <v>0</v>
          </cell>
          <cell r="H1995" t="str">
            <v>Service/Storage</v>
          </cell>
          <cell r="I1995" t="str">
            <v>Unknown;Conventional;0;7</v>
          </cell>
          <cell r="J1995" t="str">
            <v>AB</v>
          </cell>
          <cell r="K1995" t="str">
            <v>Medium</v>
          </cell>
          <cell r="L1995">
            <v>1</v>
          </cell>
          <cell r="M1995">
            <v>2</v>
          </cell>
        </row>
        <row r="1996">
          <cell r="A1996">
            <v>7</v>
          </cell>
          <cell r="B1996">
            <v>2005</v>
          </cell>
          <cell r="C1996">
            <v>1</v>
          </cell>
          <cell r="D1996" t="str">
            <v>Service-Devt</v>
          </cell>
          <cell r="E1996" t="str">
            <v>Unknown</v>
          </cell>
          <cell r="F1996" t="str">
            <v>Conventional</v>
          </cell>
          <cell r="G1996">
            <v>0</v>
          </cell>
          <cell r="H1996" t="str">
            <v>Service/Storage</v>
          </cell>
          <cell r="I1996" t="str">
            <v>Unknown;Conventional;0;7</v>
          </cell>
          <cell r="J1996" t="str">
            <v>AB</v>
          </cell>
          <cell r="K1996" t="str">
            <v>Shallow</v>
          </cell>
          <cell r="L1996">
            <v>1</v>
          </cell>
          <cell r="M1996">
            <v>5</v>
          </cell>
        </row>
        <row r="1997">
          <cell r="A1997">
            <v>7</v>
          </cell>
          <cell r="B1997">
            <v>2005</v>
          </cell>
          <cell r="C1997">
            <v>2</v>
          </cell>
          <cell r="D1997" t="str">
            <v>Service-Devt</v>
          </cell>
          <cell r="E1997" t="str">
            <v>Unknown</v>
          </cell>
          <cell r="F1997" t="str">
            <v>Conventional</v>
          </cell>
          <cell r="G1997">
            <v>0</v>
          </cell>
          <cell r="H1997" t="str">
            <v>Service/Storage</v>
          </cell>
          <cell r="I1997" t="str">
            <v>Unknown;Conventional;0;7</v>
          </cell>
          <cell r="J1997" t="str">
            <v>AB</v>
          </cell>
          <cell r="K1997" t="str">
            <v>Shallow</v>
          </cell>
          <cell r="L1997">
            <v>1</v>
          </cell>
          <cell r="M1997">
            <v>3</v>
          </cell>
        </row>
        <row r="1998">
          <cell r="A1998">
            <v>7</v>
          </cell>
          <cell r="B1998">
            <v>2006</v>
          </cell>
          <cell r="C1998">
            <v>1</v>
          </cell>
          <cell r="D1998" t="str">
            <v>Service-Devt</v>
          </cell>
          <cell r="E1998" t="str">
            <v>Unknown</v>
          </cell>
          <cell r="F1998" t="str">
            <v>Conventional</v>
          </cell>
          <cell r="G1998">
            <v>0</v>
          </cell>
          <cell r="H1998" t="str">
            <v>Service/Storage</v>
          </cell>
          <cell r="I1998" t="str">
            <v>Unknown;Conventional;0;7</v>
          </cell>
          <cell r="J1998" t="str">
            <v>AB</v>
          </cell>
          <cell r="K1998" t="str">
            <v>Medium</v>
          </cell>
          <cell r="L1998">
            <v>2</v>
          </cell>
          <cell r="M1998">
            <v>27</v>
          </cell>
        </row>
        <row r="1999">
          <cell r="A1999">
            <v>7</v>
          </cell>
          <cell r="B1999">
            <v>2006</v>
          </cell>
          <cell r="C1999">
            <v>1</v>
          </cell>
          <cell r="D1999" t="str">
            <v>Service-Devt</v>
          </cell>
          <cell r="E1999" t="str">
            <v>Unknown</v>
          </cell>
          <cell r="F1999" t="str">
            <v>Conventional</v>
          </cell>
          <cell r="G1999">
            <v>0</v>
          </cell>
          <cell r="H1999" t="str">
            <v>Service/Storage</v>
          </cell>
          <cell r="I1999" t="str">
            <v>Unknown;Conventional;0;7</v>
          </cell>
          <cell r="J1999" t="str">
            <v>AB</v>
          </cell>
          <cell r="K1999" t="str">
            <v>Shallow</v>
          </cell>
          <cell r="L1999">
            <v>1</v>
          </cell>
          <cell r="M1999">
            <v>5</v>
          </cell>
        </row>
        <row r="2000">
          <cell r="A2000">
            <v>8</v>
          </cell>
          <cell r="B2000">
            <v>2001</v>
          </cell>
          <cell r="C2000">
            <v>1</v>
          </cell>
          <cell r="D2000" t="str">
            <v>Service-Devt</v>
          </cell>
          <cell r="E2000" t="str">
            <v>Unknown</v>
          </cell>
          <cell r="F2000" t="str">
            <v>Conventional</v>
          </cell>
          <cell r="G2000">
            <v>0</v>
          </cell>
          <cell r="H2000" t="str">
            <v>Service/Storage</v>
          </cell>
          <cell r="I2000" t="str">
            <v>Unknown;Conventional;0;8</v>
          </cell>
          <cell r="J2000" t="str">
            <v>BC</v>
          </cell>
          <cell r="K2000" t="str">
            <v>Medium</v>
          </cell>
          <cell r="L2000">
            <v>1</v>
          </cell>
          <cell r="M2000">
            <v>8</v>
          </cell>
        </row>
        <row r="2001">
          <cell r="A2001">
            <v>8</v>
          </cell>
          <cell r="B2001">
            <v>2002</v>
          </cell>
          <cell r="C2001">
            <v>1</v>
          </cell>
          <cell r="D2001" t="str">
            <v>Service-Devt</v>
          </cell>
          <cell r="E2001" t="str">
            <v>Unknown</v>
          </cell>
          <cell r="F2001" t="str">
            <v>Conventional</v>
          </cell>
          <cell r="G2001">
            <v>0</v>
          </cell>
          <cell r="H2001" t="str">
            <v>Service/Storage</v>
          </cell>
          <cell r="I2001" t="str">
            <v>Unknown;Conventional;0;8</v>
          </cell>
          <cell r="J2001" t="str">
            <v>BC</v>
          </cell>
          <cell r="K2001" t="str">
            <v>DEEP</v>
          </cell>
          <cell r="L2001">
            <v>1</v>
          </cell>
          <cell r="M2001">
            <v>3.8333330000000001</v>
          </cell>
        </row>
        <row r="2002">
          <cell r="A2002">
            <v>8</v>
          </cell>
          <cell r="B2002">
            <v>2002</v>
          </cell>
          <cell r="C2002">
            <v>1</v>
          </cell>
          <cell r="D2002" t="str">
            <v>Service-Devt</v>
          </cell>
          <cell r="E2002" t="str">
            <v>Unknown</v>
          </cell>
          <cell r="F2002" t="str">
            <v>Conventional</v>
          </cell>
          <cell r="G2002">
            <v>0</v>
          </cell>
          <cell r="H2002" t="str">
            <v>Service/Storage</v>
          </cell>
          <cell r="I2002" t="str">
            <v>Unknown;Conventional;0;8</v>
          </cell>
          <cell r="J2002" t="str">
            <v>BC</v>
          </cell>
          <cell r="K2002" t="str">
            <v>Medium</v>
          </cell>
          <cell r="L2002">
            <v>1</v>
          </cell>
          <cell r="M2002">
            <v>10</v>
          </cell>
        </row>
        <row r="2003">
          <cell r="A2003">
            <v>8</v>
          </cell>
          <cell r="B2003">
            <v>2003</v>
          </cell>
          <cell r="C2003">
            <v>2</v>
          </cell>
          <cell r="D2003" t="str">
            <v>Service-Devt</v>
          </cell>
          <cell r="E2003" t="str">
            <v>Unknown</v>
          </cell>
          <cell r="F2003" t="str">
            <v>Conventional</v>
          </cell>
          <cell r="G2003">
            <v>0</v>
          </cell>
          <cell r="H2003" t="str">
            <v>Service/Storage</v>
          </cell>
          <cell r="I2003" t="str">
            <v>Unknown;Conventional;0;8</v>
          </cell>
          <cell r="J2003" t="str">
            <v>BC</v>
          </cell>
          <cell r="K2003" t="str">
            <v>Medium</v>
          </cell>
          <cell r="L2003">
            <v>1</v>
          </cell>
          <cell r="M2003">
            <v>14</v>
          </cell>
        </row>
        <row r="2004">
          <cell r="A2004">
            <v>9</v>
          </cell>
          <cell r="B2004">
            <v>2000</v>
          </cell>
          <cell r="C2004">
            <v>1</v>
          </cell>
          <cell r="D2004" t="str">
            <v>Service-Devt</v>
          </cell>
          <cell r="E2004" t="str">
            <v>Unknown</v>
          </cell>
          <cell r="F2004" t="str">
            <v>Conventional</v>
          </cell>
          <cell r="G2004">
            <v>0</v>
          </cell>
          <cell r="H2004" t="str">
            <v>Service/Storage</v>
          </cell>
          <cell r="I2004" t="str">
            <v>Unknown;Conventional;0;9</v>
          </cell>
          <cell r="J2004" t="str">
            <v>BC</v>
          </cell>
          <cell r="K2004" t="str">
            <v>Medium</v>
          </cell>
          <cell r="L2004">
            <v>1</v>
          </cell>
          <cell r="M2004">
            <v>78.5</v>
          </cell>
        </row>
        <row r="2005">
          <cell r="A2005">
            <v>9</v>
          </cell>
          <cell r="B2005">
            <v>2001</v>
          </cell>
          <cell r="C2005">
            <v>1</v>
          </cell>
          <cell r="D2005" t="str">
            <v>Service-Devt</v>
          </cell>
          <cell r="E2005" t="str">
            <v>Unknown</v>
          </cell>
          <cell r="F2005" t="str">
            <v>Conventional</v>
          </cell>
          <cell r="G2005">
            <v>0</v>
          </cell>
          <cell r="H2005" t="str">
            <v>Service/Storage</v>
          </cell>
          <cell r="I2005" t="str">
            <v>Unknown;Conventional;0;9</v>
          </cell>
          <cell r="J2005" t="str">
            <v>BC</v>
          </cell>
          <cell r="K2005" t="str">
            <v>Deep</v>
          </cell>
          <cell r="L2005">
            <v>1</v>
          </cell>
          <cell r="M2005">
            <v>19</v>
          </cell>
        </row>
        <row r="2006">
          <cell r="A2006">
            <v>9</v>
          </cell>
          <cell r="B2006">
            <v>2001</v>
          </cell>
          <cell r="C2006">
            <v>1</v>
          </cell>
          <cell r="D2006" t="str">
            <v>Service-Devt</v>
          </cell>
          <cell r="E2006" t="str">
            <v>Unknown</v>
          </cell>
          <cell r="F2006" t="str">
            <v>Conventional</v>
          </cell>
          <cell r="G2006">
            <v>0</v>
          </cell>
          <cell r="H2006" t="str">
            <v>Service/Storage</v>
          </cell>
          <cell r="I2006" t="str">
            <v>Unknown;Conventional;0;9</v>
          </cell>
          <cell r="J2006" t="str">
            <v>BC</v>
          </cell>
          <cell r="K2006" t="str">
            <v>Shallow</v>
          </cell>
          <cell r="L2006">
            <v>1</v>
          </cell>
          <cell r="M2006">
            <v>7</v>
          </cell>
        </row>
        <row r="2007">
          <cell r="A2007">
            <v>9</v>
          </cell>
          <cell r="B2007">
            <v>2003</v>
          </cell>
          <cell r="C2007">
            <v>2</v>
          </cell>
          <cell r="D2007" t="str">
            <v>Service-Devt</v>
          </cell>
          <cell r="E2007" t="str">
            <v>Unknown</v>
          </cell>
          <cell r="F2007" t="str">
            <v>Conventional</v>
          </cell>
          <cell r="G2007">
            <v>0</v>
          </cell>
          <cell r="H2007" t="str">
            <v>Service/Storage</v>
          </cell>
          <cell r="I2007" t="str">
            <v>Unknown;Conventional;0;9</v>
          </cell>
          <cell r="J2007" t="str">
            <v>BC</v>
          </cell>
          <cell r="K2007" t="str">
            <v>Medium</v>
          </cell>
          <cell r="L2007">
            <v>1</v>
          </cell>
          <cell r="M2007">
            <v>21</v>
          </cell>
        </row>
        <row r="2008">
          <cell r="A2008">
            <v>9</v>
          </cell>
          <cell r="B2008">
            <v>2004</v>
          </cell>
          <cell r="C2008">
            <v>1</v>
          </cell>
          <cell r="D2008" t="str">
            <v>Service-Devt</v>
          </cell>
          <cell r="E2008" t="str">
            <v>Unknown</v>
          </cell>
          <cell r="F2008" t="str">
            <v>Conventional</v>
          </cell>
          <cell r="G2008">
            <v>0</v>
          </cell>
          <cell r="H2008" t="str">
            <v>Service/Storage</v>
          </cell>
          <cell r="I2008" t="str">
            <v>Unknown;Conventional;0;9</v>
          </cell>
          <cell r="J2008" t="str">
            <v>BC</v>
          </cell>
          <cell r="K2008" t="str">
            <v>Medium</v>
          </cell>
          <cell r="L2008">
            <v>1</v>
          </cell>
          <cell r="M2008">
            <v>25</v>
          </cell>
        </row>
        <row r="2009">
          <cell r="A2009">
            <v>11</v>
          </cell>
          <cell r="B2009">
            <v>2000</v>
          </cell>
          <cell r="C2009">
            <v>1</v>
          </cell>
          <cell r="D2009" t="str">
            <v>Service-Devt</v>
          </cell>
          <cell r="E2009" t="str">
            <v>Unknown</v>
          </cell>
          <cell r="F2009" t="str">
            <v>Conventional</v>
          </cell>
          <cell r="G2009">
            <v>0</v>
          </cell>
          <cell r="H2009" t="str">
            <v>Service/Storage</v>
          </cell>
          <cell r="I2009" t="str">
            <v>Unknown;Conventional;0;11</v>
          </cell>
          <cell r="J2009" t="str">
            <v>SK</v>
          </cell>
          <cell r="K2009" t="str">
            <v>Shallow</v>
          </cell>
          <cell r="L2009">
            <v>6</v>
          </cell>
          <cell r="M2009">
            <v>38</v>
          </cell>
        </row>
        <row r="2010">
          <cell r="A2010">
            <v>11</v>
          </cell>
          <cell r="B2010">
            <v>2001</v>
          </cell>
          <cell r="C2010">
            <v>1</v>
          </cell>
          <cell r="D2010" t="str">
            <v>Service-Devt</v>
          </cell>
          <cell r="E2010" t="str">
            <v>Unknown</v>
          </cell>
          <cell r="F2010" t="str">
            <v>Conventional</v>
          </cell>
          <cell r="G2010">
            <v>0</v>
          </cell>
          <cell r="H2010" t="str">
            <v>Service/Storage</v>
          </cell>
          <cell r="I2010" t="str">
            <v>Unknown;Conventional;0;11</v>
          </cell>
          <cell r="J2010" t="str">
            <v>SK</v>
          </cell>
          <cell r="K2010" t="str">
            <v>Medium</v>
          </cell>
          <cell r="L2010">
            <v>2</v>
          </cell>
          <cell r="M2010">
            <v>17</v>
          </cell>
        </row>
        <row r="2011">
          <cell r="A2011">
            <v>11</v>
          </cell>
          <cell r="B2011">
            <v>2001</v>
          </cell>
          <cell r="C2011">
            <v>1</v>
          </cell>
          <cell r="D2011" t="str">
            <v>Service-Devt</v>
          </cell>
          <cell r="E2011" t="str">
            <v>Unknown</v>
          </cell>
          <cell r="F2011" t="str">
            <v>Conventional</v>
          </cell>
          <cell r="G2011">
            <v>0</v>
          </cell>
          <cell r="H2011" t="str">
            <v>Service/Storage</v>
          </cell>
          <cell r="I2011" t="str">
            <v>Unknown;Conventional;0;11</v>
          </cell>
          <cell r="J2011" t="str">
            <v>SK</v>
          </cell>
          <cell r="K2011" t="str">
            <v>Shallow</v>
          </cell>
          <cell r="L2011">
            <v>8</v>
          </cell>
          <cell r="M2011">
            <v>39.666665999999999</v>
          </cell>
        </row>
        <row r="2012">
          <cell r="A2012">
            <v>11</v>
          </cell>
          <cell r="B2012">
            <v>2002</v>
          </cell>
          <cell r="C2012">
            <v>1</v>
          </cell>
          <cell r="D2012" t="str">
            <v>Service-Devt</v>
          </cell>
          <cell r="E2012" t="str">
            <v>Unknown</v>
          </cell>
          <cell r="F2012" t="str">
            <v>Conventional</v>
          </cell>
          <cell r="G2012">
            <v>0</v>
          </cell>
          <cell r="H2012" t="str">
            <v>Service/Storage</v>
          </cell>
          <cell r="I2012" t="str">
            <v>Unknown;Conventional;0;11</v>
          </cell>
          <cell r="J2012" t="str">
            <v>SK</v>
          </cell>
          <cell r="K2012" t="str">
            <v>Medium</v>
          </cell>
          <cell r="L2012">
            <v>5</v>
          </cell>
          <cell r="M2012">
            <v>23</v>
          </cell>
        </row>
        <row r="2013">
          <cell r="A2013">
            <v>11</v>
          </cell>
          <cell r="B2013">
            <v>2002</v>
          </cell>
          <cell r="C2013">
            <v>1</v>
          </cell>
          <cell r="D2013" t="str">
            <v>Service-Devt</v>
          </cell>
          <cell r="E2013" t="str">
            <v>Unknown</v>
          </cell>
          <cell r="F2013" t="str">
            <v>Conventional</v>
          </cell>
          <cell r="G2013">
            <v>0</v>
          </cell>
          <cell r="H2013" t="str">
            <v>Service/Storage</v>
          </cell>
          <cell r="I2013" t="str">
            <v>Unknown;Conventional;0;11</v>
          </cell>
          <cell r="J2013" t="str">
            <v>SK</v>
          </cell>
          <cell r="K2013" t="str">
            <v>Shallow</v>
          </cell>
          <cell r="L2013">
            <v>16</v>
          </cell>
          <cell r="M2013">
            <v>51</v>
          </cell>
        </row>
        <row r="2014">
          <cell r="A2014">
            <v>11</v>
          </cell>
          <cell r="B2014">
            <v>2003</v>
          </cell>
          <cell r="C2014">
            <v>1</v>
          </cell>
          <cell r="D2014" t="str">
            <v>Service-Devt</v>
          </cell>
          <cell r="E2014" t="str">
            <v>Unknown</v>
          </cell>
          <cell r="F2014" t="str">
            <v>Conventional</v>
          </cell>
          <cell r="G2014">
            <v>0</v>
          </cell>
          <cell r="H2014" t="str">
            <v>Service/Storage</v>
          </cell>
          <cell r="I2014" t="str">
            <v>Unknown;Conventional;0;11</v>
          </cell>
          <cell r="J2014" t="str">
            <v>SK</v>
          </cell>
          <cell r="K2014" t="str">
            <v>Medium</v>
          </cell>
          <cell r="L2014">
            <v>4</v>
          </cell>
          <cell r="M2014">
            <v>32</v>
          </cell>
        </row>
        <row r="2015">
          <cell r="A2015">
            <v>11</v>
          </cell>
          <cell r="B2015">
            <v>2003</v>
          </cell>
          <cell r="C2015">
            <v>1</v>
          </cell>
          <cell r="D2015" t="str">
            <v>Service-Devt</v>
          </cell>
          <cell r="E2015" t="str">
            <v>Unknown</v>
          </cell>
          <cell r="F2015" t="str">
            <v>Conventional</v>
          </cell>
          <cell r="G2015">
            <v>0</v>
          </cell>
          <cell r="H2015" t="str">
            <v>Service/Storage</v>
          </cell>
          <cell r="I2015" t="str">
            <v>Unknown;Conventional;0;11</v>
          </cell>
          <cell r="J2015" t="str">
            <v>SK</v>
          </cell>
          <cell r="K2015" t="str">
            <v>Shallow</v>
          </cell>
          <cell r="L2015">
            <v>7</v>
          </cell>
          <cell r="M2015">
            <v>38</v>
          </cell>
        </row>
        <row r="2016">
          <cell r="A2016">
            <v>11</v>
          </cell>
          <cell r="B2016">
            <v>2004</v>
          </cell>
          <cell r="C2016">
            <v>1</v>
          </cell>
          <cell r="D2016" t="str">
            <v>Service-Devt</v>
          </cell>
          <cell r="E2016" t="str">
            <v>Unknown</v>
          </cell>
          <cell r="F2016" t="str">
            <v>Conventional</v>
          </cell>
          <cell r="G2016">
            <v>0</v>
          </cell>
          <cell r="H2016" t="str">
            <v>Service/Storage</v>
          </cell>
          <cell r="I2016" t="str">
            <v>Unknown;Conventional;0;11</v>
          </cell>
          <cell r="J2016" t="str">
            <v>SK</v>
          </cell>
          <cell r="K2016" t="str">
            <v>Medium</v>
          </cell>
          <cell r="L2016">
            <v>1</v>
          </cell>
          <cell r="M2016">
            <v>3</v>
          </cell>
        </row>
        <row r="2017">
          <cell r="A2017">
            <v>11</v>
          </cell>
          <cell r="B2017">
            <v>2004</v>
          </cell>
          <cell r="C2017">
            <v>1</v>
          </cell>
          <cell r="D2017" t="str">
            <v>Service-Devt</v>
          </cell>
          <cell r="E2017" t="str">
            <v>Unknown</v>
          </cell>
          <cell r="F2017" t="str">
            <v>Conventional</v>
          </cell>
          <cell r="G2017">
            <v>0</v>
          </cell>
          <cell r="H2017" t="str">
            <v>Service/Storage</v>
          </cell>
          <cell r="I2017" t="str">
            <v>Unknown;Conventional;0;11</v>
          </cell>
          <cell r="J2017" t="str">
            <v>SK</v>
          </cell>
          <cell r="K2017" t="str">
            <v>Shallow</v>
          </cell>
          <cell r="L2017">
            <v>4</v>
          </cell>
          <cell r="M2017">
            <v>14.5</v>
          </cell>
        </row>
        <row r="2018">
          <cell r="A2018">
            <v>11</v>
          </cell>
          <cell r="B2018">
            <v>2005</v>
          </cell>
          <cell r="C2018">
            <v>1</v>
          </cell>
          <cell r="D2018" t="str">
            <v>Service-Devt</v>
          </cell>
          <cell r="E2018" t="str">
            <v>Unknown</v>
          </cell>
          <cell r="F2018" t="str">
            <v>Conventional</v>
          </cell>
          <cell r="G2018">
            <v>0</v>
          </cell>
          <cell r="H2018" t="str">
            <v>Service/Storage</v>
          </cell>
          <cell r="I2018" t="str">
            <v>Unknown;Conventional;0;11</v>
          </cell>
          <cell r="J2018" t="str">
            <v>SK</v>
          </cell>
          <cell r="K2018" t="str">
            <v>Medium</v>
          </cell>
          <cell r="L2018">
            <v>4</v>
          </cell>
          <cell r="M2018">
            <v>23</v>
          </cell>
        </row>
        <row r="2019">
          <cell r="A2019">
            <v>11</v>
          </cell>
          <cell r="B2019">
            <v>2005</v>
          </cell>
          <cell r="C2019">
            <v>1</v>
          </cell>
          <cell r="D2019" t="str">
            <v>Service-Devt</v>
          </cell>
          <cell r="E2019" t="str">
            <v>Unknown</v>
          </cell>
          <cell r="F2019" t="str">
            <v>Conventional</v>
          </cell>
          <cell r="G2019">
            <v>0</v>
          </cell>
          <cell r="H2019" t="str">
            <v>Service/Storage</v>
          </cell>
          <cell r="I2019" t="str">
            <v>Unknown;Conventional;0;11</v>
          </cell>
          <cell r="J2019" t="str">
            <v>SK</v>
          </cell>
          <cell r="K2019" t="str">
            <v>Shallow</v>
          </cell>
          <cell r="L2019">
            <v>11</v>
          </cell>
          <cell r="M2019">
            <v>45</v>
          </cell>
        </row>
        <row r="2020">
          <cell r="A2020">
            <v>11</v>
          </cell>
          <cell r="B2020">
            <v>2006</v>
          </cell>
          <cell r="C2020">
            <v>1</v>
          </cell>
          <cell r="D2020" t="str">
            <v>Service-Devt</v>
          </cell>
          <cell r="E2020" t="str">
            <v>Unknown</v>
          </cell>
          <cell r="F2020" t="str">
            <v>Conventional</v>
          </cell>
          <cell r="G2020">
            <v>0</v>
          </cell>
          <cell r="H2020" t="str">
            <v>Service/Storage</v>
          </cell>
          <cell r="I2020" t="str">
            <v>Unknown;Conventional;0;11</v>
          </cell>
          <cell r="J2020" t="str">
            <v>SK</v>
          </cell>
          <cell r="K2020" t="str">
            <v>Medium</v>
          </cell>
          <cell r="L2020">
            <v>4</v>
          </cell>
          <cell r="M2020">
            <v>8</v>
          </cell>
        </row>
        <row r="2021">
          <cell r="A2021">
            <v>11</v>
          </cell>
          <cell r="B2021">
            <v>2006</v>
          </cell>
          <cell r="C2021">
            <v>1</v>
          </cell>
          <cell r="D2021" t="str">
            <v>Service-Devt</v>
          </cell>
          <cell r="E2021" t="str">
            <v>Unknown</v>
          </cell>
          <cell r="F2021" t="str">
            <v>Conventional</v>
          </cell>
          <cell r="G2021">
            <v>0</v>
          </cell>
          <cell r="H2021" t="str">
            <v>Service/Storage</v>
          </cell>
          <cell r="I2021" t="str">
            <v>Unknown;Conventional;0;11</v>
          </cell>
          <cell r="J2021" t="str">
            <v>SK</v>
          </cell>
          <cell r="K2021" t="str">
            <v>Shallow</v>
          </cell>
          <cell r="L2021">
            <v>15</v>
          </cell>
          <cell r="M2021">
            <v>43</v>
          </cell>
        </row>
        <row r="2022">
          <cell r="A2022">
            <v>12</v>
          </cell>
          <cell r="B2022">
            <v>2000</v>
          </cell>
          <cell r="C2022">
            <v>1</v>
          </cell>
          <cell r="D2022" t="str">
            <v>Service-Devt</v>
          </cell>
          <cell r="E2022" t="str">
            <v>Unknown</v>
          </cell>
          <cell r="F2022" t="str">
            <v>Conventional</v>
          </cell>
          <cell r="G2022">
            <v>0</v>
          </cell>
          <cell r="H2022" t="str">
            <v>Service/Storage</v>
          </cell>
          <cell r="I2022" t="str">
            <v>Unknown;Conventional;0;12</v>
          </cell>
          <cell r="J2022" t="str">
            <v>SK</v>
          </cell>
          <cell r="K2022" t="str">
            <v>MEDIUM</v>
          </cell>
          <cell r="L2022">
            <v>1</v>
          </cell>
          <cell r="M2022">
            <v>15</v>
          </cell>
        </row>
        <row r="2023">
          <cell r="A2023">
            <v>12</v>
          </cell>
          <cell r="B2023">
            <v>2000</v>
          </cell>
          <cell r="C2023">
            <v>1</v>
          </cell>
          <cell r="D2023" t="str">
            <v>Service-Devt</v>
          </cell>
          <cell r="E2023" t="str">
            <v>Unknown</v>
          </cell>
          <cell r="F2023" t="str">
            <v>Conventional</v>
          </cell>
          <cell r="G2023">
            <v>0</v>
          </cell>
          <cell r="H2023" t="str">
            <v>Service/Storage</v>
          </cell>
          <cell r="I2023" t="str">
            <v>Unknown;Conventional;0;12</v>
          </cell>
          <cell r="J2023" t="str">
            <v>SK</v>
          </cell>
          <cell r="K2023" t="str">
            <v>Shallow</v>
          </cell>
          <cell r="L2023">
            <v>5</v>
          </cell>
          <cell r="M2023">
            <v>22.5</v>
          </cell>
        </row>
        <row r="2024">
          <cell r="A2024">
            <v>12</v>
          </cell>
          <cell r="B2024">
            <v>2001</v>
          </cell>
          <cell r="C2024">
            <v>1</v>
          </cell>
          <cell r="D2024" t="str">
            <v>Service-Devt</v>
          </cell>
          <cell r="E2024" t="str">
            <v>Unknown</v>
          </cell>
          <cell r="F2024" t="str">
            <v>Conventional</v>
          </cell>
          <cell r="G2024">
            <v>0</v>
          </cell>
          <cell r="H2024" t="str">
            <v>Service/Storage</v>
          </cell>
          <cell r="I2024" t="str">
            <v>Unknown;Conventional;0;12</v>
          </cell>
          <cell r="J2024" t="str">
            <v>SK</v>
          </cell>
          <cell r="K2024" t="str">
            <v>Medium</v>
          </cell>
          <cell r="L2024">
            <v>1</v>
          </cell>
          <cell r="M2024">
            <v>6</v>
          </cell>
        </row>
        <row r="2025">
          <cell r="A2025">
            <v>12</v>
          </cell>
          <cell r="B2025">
            <v>2001</v>
          </cell>
          <cell r="C2025">
            <v>1</v>
          </cell>
          <cell r="D2025" t="str">
            <v>Service-Devt</v>
          </cell>
          <cell r="E2025" t="str">
            <v>Unknown</v>
          </cell>
          <cell r="F2025" t="str">
            <v>Conventional</v>
          </cell>
          <cell r="G2025">
            <v>0</v>
          </cell>
          <cell r="H2025" t="str">
            <v>Service/Storage</v>
          </cell>
          <cell r="I2025" t="str">
            <v>Unknown;Conventional;0;12</v>
          </cell>
          <cell r="J2025" t="str">
            <v>SK</v>
          </cell>
          <cell r="K2025" t="str">
            <v>Shallow</v>
          </cell>
          <cell r="L2025">
            <v>2</v>
          </cell>
          <cell r="M2025">
            <v>9</v>
          </cell>
        </row>
        <row r="2026">
          <cell r="A2026">
            <v>12</v>
          </cell>
          <cell r="B2026">
            <v>2002</v>
          </cell>
          <cell r="C2026">
            <v>1</v>
          </cell>
          <cell r="D2026" t="str">
            <v>Service-Devt</v>
          </cell>
          <cell r="E2026" t="str">
            <v>Unknown</v>
          </cell>
          <cell r="F2026" t="str">
            <v>Conventional</v>
          </cell>
          <cell r="G2026">
            <v>0</v>
          </cell>
          <cell r="H2026" t="str">
            <v>Service/Storage</v>
          </cell>
          <cell r="I2026" t="str">
            <v>Unknown;Conventional;0;12</v>
          </cell>
          <cell r="J2026" t="str">
            <v>SK</v>
          </cell>
          <cell r="K2026" t="str">
            <v>Shallow</v>
          </cell>
          <cell r="L2026">
            <v>7</v>
          </cell>
          <cell r="M2026">
            <v>23</v>
          </cell>
        </row>
        <row r="2027">
          <cell r="A2027">
            <v>12</v>
          </cell>
          <cell r="B2027">
            <v>2003</v>
          </cell>
          <cell r="C2027">
            <v>1</v>
          </cell>
          <cell r="D2027" t="str">
            <v>Service-Devt</v>
          </cell>
          <cell r="E2027" t="str">
            <v>Unknown</v>
          </cell>
          <cell r="F2027" t="str">
            <v>Conventional</v>
          </cell>
          <cell r="G2027">
            <v>0</v>
          </cell>
          <cell r="H2027" t="str">
            <v>Service/Storage</v>
          </cell>
          <cell r="I2027" t="str">
            <v>Unknown;Conventional;0;12</v>
          </cell>
          <cell r="J2027" t="str">
            <v>SK</v>
          </cell>
          <cell r="K2027" t="str">
            <v>Medium</v>
          </cell>
          <cell r="L2027">
            <v>1</v>
          </cell>
          <cell r="M2027">
            <v>9</v>
          </cell>
        </row>
        <row r="2028">
          <cell r="A2028">
            <v>12</v>
          </cell>
          <cell r="B2028">
            <v>2003</v>
          </cell>
          <cell r="C2028">
            <v>1</v>
          </cell>
          <cell r="D2028" t="str">
            <v>Service-Devt</v>
          </cell>
          <cell r="E2028" t="str">
            <v>Unknown</v>
          </cell>
          <cell r="F2028" t="str">
            <v>Conventional</v>
          </cell>
          <cell r="G2028">
            <v>0</v>
          </cell>
          <cell r="H2028" t="str">
            <v>Service/Storage</v>
          </cell>
          <cell r="I2028" t="str">
            <v>Unknown;Conventional;0;12</v>
          </cell>
          <cell r="J2028" t="str">
            <v>SK</v>
          </cell>
          <cell r="K2028" t="str">
            <v>Shallow</v>
          </cell>
          <cell r="L2028">
            <v>3</v>
          </cell>
          <cell r="M2028">
            <v>10</v>
          </cell>
        </row>
        <row r="2029">
          <cell r="A2029">
            <v>12</v>
          </cell>
          <cell r="B2029">
            <v>2004</v>
          </cell>
          <cell r="C2029">
            <v>1</v>
          </cell>
          <cell r="D2029" t="str">
            <v>Service-Devt</v>
          </cell>
          <cell r="E2029" t="str">
            <v>Unknown</v>
          </cell>
          <cell r="F2029" t="str">
            <v>Conventional</v>
          </cell>
          <cell r="G2029">
            <v>0</v>
          </cell>
          <cell r="H2029" t="str">
            <v>Service/Storage</v>
          </cell>
          <cell r="I2029" t="str">
            <v>Unknown;Conventional;0;12</v>
          </cell>
          <cell r="J2029" t="str">
            <v>SK</v>
          </cell>
          <cell r="K2029" t="str">
            <v>Medium</v>
          </cell>
          <cell r="L2029">
            <v>1</v>
          </cell>
          <cell r="M2029">
            <v>4</v>
          </cell>
        </row>
        <row r="2030">
          <cell r="A2030">
            <v>12</v>
          </cell>
          <cell r="B2030">
            <v>2004</v>
          </cell>
          <cell r="C2030">
            <v>1</v>
          </cell>
          <cell r="D2030" t="str">
            <v>Service-Devt</v>
          </cell>
          <cell r="E2030" t="str">
            <v>Unknown</v>
          </cell>
          <cell r="F2030" t="str">
            <v>Conventional</v>
          </cell>
          <cell r="G2030">
            <v>0</v>
          </cell>
          <cell r="H2030" t="str">
            <v>Service/Storage</v>
          </cell>
          <cell r="I2030" t="str">
            <v>Unknown;Conventional;0;12</v>
          </cell>
          <cell r="J2030" t="str">
            <v>SK</v>
          </cell>
          <cell r="K2030" t="str">
            <v>Shallow</v>
          </cell>
          <cell r="L2030">
            <v>6</v>
          </cell>
          <cell r="M2030">
            <v>18</v>
          </cell>
        </row>
        <row r="2031">
          <cell r="A2031">
            <v>12</v>
          </cell>
          <cell r="B2031">
            <v>2005</v>
          </cell>
          <cell r="C2031">
            <v>1</v>
          </cell>
          <cell r="D2031" t="str">
            <v>Service-Devt</v>
          </cell>
          <cell r="E2031" t="str">
            <v>Unknown</v>
          </cell>
          <cell r="F2031" t="str">
            <v>Conventional</v>
          </cell>
          <cell r="G2031">
            <v>0</v>
          </cell>
          <cell r="H2031" t="str">
            <v>Service/Storage</v>
          </cell>
          <cell r="I2031" t="str">
            <v>Unknown;Conventional;0;12</v>
          </cell>
          <cell r="J2031" t="str">
            <v>SK</v>
          </cell>
          <cell r="K2031" t="str">
            <v>Medium</v>
          </cell>
          <cell r="L2031">
            <v>1</v>
          </cell>
          <cell r="M2031">
            <v>6</v>
          </cell>
        </row>
        <row r="2032">
          <cell r="A2032">
            <v>12</v>
          </cell>
          <cell r="B2032">
            <v>2005</v>
          </cell>
          <cell r="C2032">
            <v>1</v>
          </cell>
          <cell r="D2032" t="str">
            <v>Service-Devt</v>
          </cell>
          <cell r="E2032" t="str">
            <v>Unknown</v>
          </cell>
          <cell r="F2032" t="str">
            <v>Conventional</v>
          </cell>
          <cell r="G2032">
            <v>0</v>
          </cell>
          <cell r="H2032" t="str">
            <v>Service/Storage</v>
          </cell>
          <cell r="I2032" t="str">
            <v>Unknown;Conventional;0;12</v>
          </cell>
          <cell r="J2032" t="str">
            <v>SK</v>
          </cell>
          <cell r="K2032" t="str">
            <v>Shallow</v>
          </cell>
          <cell r="L2032">
            <v>5</v>
          </cell>
          <cell r="M2032">
            <v>32.402380999999998</v>
          </cell>
        </row>
        <row r="2033">
          <cell r="A2033">
            <v>12</v>
          </cell>
          <cell r="B2033">
            <v>2006</v>
          </cell>
          <cell r="C2033">
            <v>1</v>
          </cell>
          <cell r="D2033" t="str">
            <v>Service-Devt</v>
          </cell>
          <cell r="E2033" t="str">
            <v>Unknown</v>
          </cell>
          <cell r="F2033" t="str">
            <v>Conventional</v>
          </cell>
          <cell r="G2033">
            <v>0</v>
          </cell>
          <cell r="H2033" t="str">
            <v>Service/Storage</v>
          </cell>
          <cell r="I2033" t="str">
            <v>Unknown;Conventional;0;12</v>
          </cell>
          <cell r="J2033" t="str">
            <v>SK</v>
          </cell>
          <cell r="K2033" t="str">
            <v>Medium</v>
          </cell>
          <cell r="L2033">
            <v>1</v>
          </cell>
          <cell r="M2033">
            <v>0.5</v>
          </cell>
        </row>
        <row r="2034">
          <cell r="A2034">
            <v>12</v>
          </cell>
          <cell r="B2034">
            <v>2006</v>
          </cell>
          <cell r="C2034">
            <v>1</v>
          </cell>
          <cell r="D2034" t="str">
            <v>Service-Devt</v>
          </cell>
          <cell r="E2034" t="str">
            <v>Unknown</v>
          </cell>
          <cell r="F2034" t="str">
            <v>Conventional</v>
          </cell>
          <cell r="G2034">
            <v>0</v>
          </cell>
          <cell r="H2034" t="str">
            <v>Service/Storage</v>
          </cell>
          <cell r="I2034" t="str">
            <v>Unknown;Conventional;0;12</v>
          </cell>
          <cell r="J2034" t="str">
            <v>SK</v>
          </cell>
          <cell r="K2034" t="str">
            <v>Shallow</v>
          </cell>
          <cell r="L2034">
            <v>1</v>
          </cell>
          <cell r="M2034">
            <v>2</v>
          </cell>
        </row>
        <row r="2035">
          <cell r="A2035">
            <v>12</v>
          </cell>
          <cell r="B2035">
            <v>2007</v>
          </cell>
          <cell r="C2035">
            <v>1</v>
          </cell>
          <cell r="D2035" t="str">
            <v>Service-Devt</v>
          </cell>
          <cell r="E2035" t="str">
            <v>Unknown</v>
          </cell>
          <cell r="F2035" t="str">
            <v>Conventional</v>
          </cell>
          <cell r="G2035">
            <v>0</v>
          </cell>
          <cell r="H2035" t="str">
            <v>Service/Storage</v>
          </cell>
          <cell r="I2035" t="str">
            <v>Unknown;Conventional;0;12</v>
          </cell>
          <cell r="J2035" t="str">
            <v>SK</v>
          </cell>
          <cell r="K2035" t="str">
            <v>Shallow</v>
          </cell>
          <cell r="L2035">
            <v>1</v>
          </cell>
          <cell r="M2035">
            <v>3</v>
          </cell>
        </row>
        <row r="2036">
          <cell r="A2036">
            <v>13</v>
          </cell>
          <cell r="B2036">
            <v>2000</v>
          </cell>
          <cell r="C2036">
            <v>1</v>
          </cell>
          <cell r="D2036" t="str">
            <v>Service-Devt</v>
          </cell>
          <cell r="E2036" t="str">
            <v>Unknown</v>
          </cell>
          <cell r="F2036" t="str">
            <v>Conventional</v>
          </cell>
          <cell r="G2036">
            <v>0</v>
          </cell>
          <cell r="H2036" t="str">
            <v>Service/Storage</v>
          </cell>
          <cell r="I2036" t="str">
            <v>Unknown;Conventional;0;13</v>
          </cell>
          <cell r="J2036" t="str">
            <v>SK</v>
          </cell>
          <cell r="K2036" t="str">
            <v>Medium</v>
          </cell>
          <cell r="L2036">
            <v>8</v>
          </cell>
          <cell r="M2036">
            <v>24</v>
          </cell>
        </row>
        <row r="2037">
          <cell r="A2037">
            <v>13</v>
          </cell>
          <cell r="B2037">
            <v>2000</v>
          </cell>
          <cell r="C2037">
            <v>1</v>
          </cell>
          <cell r="D2037" t="str">
            <v>Service-Devt</v>
          </cell>
          <cell r="E2037" t="str">
            <v>Unknown</v>
          </cell>
          <cell r="F2037" t="str">
            <v>Conventional</v>
          </cell>
          <cell r="G2037">
            <v>0</v>
          </cell>
          <cell r="H2037" t="str">
            <v>Service/Storage</v>
          </cell>
          <cell r="I2037" t="str">
            <v>Unknown;Conventional;0;13</v>
          </cell>
          <cell r="J2037" t="str">
            <v>SK</v>
          </cell>
          <cell r="K2037" t="str">
            <v>Shallow</v>
          </cell>
          <cell r="L2037">
            <v>3</v>
          </cell>
          <cell r="M2037">
            <v>3</v>
          </cell>
        </row>
        <row r="2038">
          <cell r="A2038">
            <v>13</v>
          </cell>
          <cell r="B2038">
            <v>2001</v>
          </cell>
          <cell r="C2038">
            <v>1</v>
          </cell>
          <cell r="D2038" t="str">
            <v>Service-Devt</v>
          </cell>
          <cell r="E2038" t="str">
            <v>Unknown</v>
          </cell>
          <cell r="F2038" t="str">
            <v>Conventional</v>
          </cell>
          <cell r="G2038">
            <v>0</v>
          </cell>
          <cell r="H2038" t="str">
            <v>Service/Storage</v>
          </cell>
          <cell r="I2038" t="str">
            <v>Unknown;Conventional;0;13</v>
          </cell>
          <cell r="J2038" t="str">
            <v>SK</v>
          </cell>
          <cell r="K2038" t="str">
            <v>MEDIUM</v>
          </cell>
          <cell r="L2038">
            <v>12</v>
          </cell>
          <cell r="M2038">
            <v>60</v>
          </cell>
        </row>
        <row r="2039">
          <cell r="A2039">
            <v>13</v>
          </cell>
          <cell r="B2039">
            <v>2001</v>
          </cell>
          <cell r="C2039">
            <v>1</v>
          </cell>
          <cell r="D2039" t="str">
            <v>Service-Devt</v>
          </cell>
          <cell r="E2039" t="str">
            <v>Unknown</v>
          </cell>
          <cell r="F2039" t="str">
            <v>Conventional</v>
          </cell>
          <cell r="G2039">
            <v>0</v>
          </cell>
          <cell r="H2039" t="str">
            <v>Service/Storage</v>
          </cell>
          <cell r="I2039" t="str">
            <v>Unknown;Conventional;0;13</v>
          </cell>
          <cell r="J2039" t="str">
            <v>SK</v>
          </cell>
          <cell r="K2039" t="str">
            <v>Shallow</v>
          </cell>
          <cell r="L2039">
            <v>5</v>
          </cell>
          <cell r="M2039">
            <v>13</v>
          </cell>
        </row>
        <row r="2040">
          <cell r="A2040">
            <v>13</v>
          </cell>
          <cell r="B2040">
            <v>2002</v>
          </cell>
          <cell r="C2040">
            <v>1</v>
          </cell>
          <cell r="D2040" t="str">
            <v>Service-Devt</v>
          </cell>
          <cell r="E2040" t="str">
            <v>Unknown</v>
          </cell>
          <cell r="F2040" t="str">
            <v>Conventional</v>
          </cell>
          <cell r="G2040">
            <v>0</v>
          </cell>
          <cell r="H2040" t="str">
            <v>Service/Storage</v>
          </cell>
          <cell r="I2040" t="str">
            <v>Unknown;Conventional;0;13</v>
          </cell>
          <cell r="J2040" t="str">
            <v>SK</v>
          </cell>
          <cell r="K2040" t="str">
            <v>Deep</v>
          </cell>
          <cell r="L2040">
            <v>2</v>
          </cell>
          <cell r="M2040">
            <v>6</v>
          </cell>
        </row>
        <row r="2041">
          <cell r="A2041">
            <v>13</v>
          </cell>
          <cell r="B2041">
            <v>2002</v>
          </cell>
          <cell r="C2041">
            <v>1</v>
          </cell>
          <cell r="D2041" t="str">
            <v>Service-Devt</v>
          </cell>
          <cell r="E2041" t="str">
            <v>Unknown</v>
          </cell>
          <cell r="F2041" t="str">
            <v>Conventional</v>
          </cell>
          <cell r="G2041">
            <v>0</v>
          </cell>
          <cell r="H2041" t="str">
            <v>Service/Storage</v>
          </cell>
          <cell r="I2041" t="str">
            <v>Unknown;Conventional;0;13</v>
          </cell>
          <cell r="J2041" t="str">
            <v>SK</v>
          </cell>
          <cell r="K2041" t="str">
            <v>MEDIUM</v>
          </cell>
          <cell r="L2041">
            <v>10</v>
          </cell>
          <cell r="M2041">
            <v>56</v>
          </cell>
        </row>
        <row r="2042">
          <cell r="A2042">
            <v>13</v>
          </cell>
          <cell r="B2042">
            <v>2002</v>
          </cell>
          <cell r="C2042">
            <v>1</v>
          </cell>
          <cell r="D2042" t="str">
            <v>Service-Devt</v>
          </cell>
          <cell r="E2042" t="str">
            <v>Unknown</v>
          </cell>
          <cell r="F2042" t="str">
            <v>Conventional</v>
          </cell>
          <cell r="G2042">
            <v>0</v>
          </cell>
          <cell r="H2042" t="str">
            <v>Service/Storage</v>
          </cell>
          <cell r="I2042" t="str">
            <v>Unknown;Conventional;0;13</v>
          </cell>
          <cell r="J2042" t="str">
            <v>SK</v>
          </cell>
          <cell r="K2042" t="str">
            <v>Shallow</v>
          </cell>
          <cell r="L2042">
            <v>5</v>
          </cell>
          <cell r="M2042">
            <v>8</v>
          </cell>
        </row>
        <row r="2043">
          <cell r="A2043">
            <v>13</v>
          </cell>
          <cell r="B2043">
            <v>2003</v>
          </cell>
          <cell r="C2043">
            <v>1</v>
          </cell>
          <cell r="D2043" t="str">
            <v>Service-Devt</v>
          </cell>
          <cell r="E2043" t="str">
            <v>Unknown</v>
          </cell>
          <cell r="F2043" t="str">
            <v>Conventional</v>
          </cell>
          <cell r="G2043">
            <v>0</v>
          </cell>
          <cell r="H2043" t="str">
            <v>Service/Storage</v>
          </cell>
          <cell r="I2043" t="str">
            <v>Unknown;Conventional;0;13</v>
          </cell>
          <cell r="J2043" t="str">
            <v>SK</v>
          </cell>
          <cell r="K2043" t="str">
            <v>Medium</v>
          </cell>
          <cell r="L2043">
            <v>8</v>
          </cell>
          <cell r="M2043">
            <v>29</v>
          </cell>
        </row>
        <row r="2044">
          <cell r="A2044">
            <v>13</v>
          </cell>
          <cell r="B2044">
            <v>2003</v>
          </cell>
          <cell r="C2044">
            <v>1</v>
          </cell>
          <cell r="D2044" t="str">
            <v>Service-Devt</v>
          </cell>
          <cell r="E2044" t="str">
            <v>Unknown</v>
          </cell>
          <cell r="F2044" t="str">
            <v>Conventional</v>
          </cell>
          <cell r="G2044">
            <v>0</v>
          </cell>
          <cell r="H2044" t="str">
            <v>Service/Storage</v>
          </cell>
          <cell r="I2044" t="str">
            <v>Unknown;Conventional;0;13</v>
          </cell>
          <cell r="J2044" t="str">
            <v>SK</v>
          </cell>
          <cell r="K2044" t="str">
            <v>Shallow</v>
          </cell>
          <cell r="L2044">
            <v>2</v>
          </cell>
          <cell r="M2044">
            <v>4</v>
          </cell>
        </row>
        <row r="2045">
          <cell r="A2045">
            <v>13</v>
          </cell>
          <cell r="B2045">
            <v>2004</v>
          </cell>
          <cell r="C2045">
            <v>1</v>
          </cell>
          <cell r="D2045" t="str">
            <v>Service-Devt</v>
          </cell>
          <cell r="E2045" t="str">
            <v>Unknown</v>
          </cell>
          <cell r="F2045" t="str">
            <v>Conventional</v>
          </cell>
          <cell r="G2045">
            <v>0</v>
          </cell>
          <cell r="H2045" t="str">
            <v>Service/Storage</v>
          </cell>
          <cell r="I2045" t="str">
            <v>Unknown;Conventional;0;13</v>
          </cell>
          <cell r="J2045" t="str">
            <v>SK</v>
          </cell>
          <cell r="K2045" t="str">
            <v>Medium</v>
          </cell>
          <cell r="L2045">
            <v>8</v>
          </cell>
          <cell r="M2045">
            <v>22</v>
          </cell>
        </row>
        <row r="2046">
          <cell r="A2046">
            <v>13</v>
          </cell>
          <cell r="B2046">
            <v>2004</v>
          </cell>
          <cell r="C2046">
            <v>1</v>
          </cell>
          <cell r="D2046" t="str">
            <v>Service-Devt</v>
          </cell>
          <cell r="E2046" t="str">
            <v>Unknown</v>
          </cell>
          <cell r="F2046" t="str">
            <v>Conventional</v>
          </cell>
          <cell r="G2046">
            <v>0</v>
          </cell>
          <cell r="H2046" t="str">
            <v>Service/Storage</v>
          </cell>
          <cell r="I2046" t="str">
            <v>Unknown;Conventional;0;13</v>
          </cell>
          <cell r="J2046" t="str">
            <v>SK</v>
          </cell>
          <cell r="K2046" t="str">
            <v>Shallow</v>
          </cell>
          <cell r="L2046">
            <v>3</v>
          </cell>
          <cell r="M2046">
            <v>10</v>
          </cell>
        </row>
        <row r="2047">
          <cell r="A2047">
            <v>13</v>
          </cell>
          <cell r="B2047">
            <v>2005</v>
          </cell>
          <cell r="C2047">
            <v>1</v>
          </cell>
          <cell r="D2047" t="str">
            <v>Service-Devt</v>
          </cell>
          <cell r="E2047" t="str">
            <v>Unknown</v>
          </cell>
          <cell r="F2047" t="str">
            <v>Conventional</v>
          </cell>
          <cell r="G2047">
            <v>0</v>
          </cell>
          <cell r="H2047" t="str">
            <v>Service/Storage</v>
          </cell>
          <cell r="I2047" t="str">
            <v>Unknown;Conventional;0;13</v>
          </cell>
          <cell r="J2047" t="str">
            <v>SK</v>
          </cell>
          <cell r="K2047" t="str">
            <v>Deep</v>
          </cell>
          <cell r="L2047">
            <v>3</v>
          </cell>
          <cell r="M2047">
            <v>19</v>
          </cell>
        </row>
        <row r="2048">
          <cell r="A2048">
            <v>13</v>
          </cell>
          <cell r="B2048">
            <v>2005</v>
          </cell>
          <cell r="C2048">
            <v>1</v>
          </cell>
          <cell r="D2048" t="str">
            <v>Service-Devt</v>
          </cell>
          <cell r="E2048" t="str">
            <v>Unknown</v>
          </cell>
          <cell r="F2048" t="str">
            <v>Conventional</v>
          </cell>
          <cell r="G2048">
            <v>0</v>
          </cell>
          <cell r="H2048" t="str">
            <v>Service/Storage</v>
          </cell>
          <cell r="I2048" t="str">
            <v>Unknown;Conventional;0;13</v>
          </cell>
          <cell r="J2048" t="str">
            <v>SK</v>
          </cell>
          <cell r="K2048" t="str">
            <v>Medium</v>
          </cell>
          <cell r="L2048">
            <v>10</v>
          </cell>
          <cell r="M2048">
            <v>47</v>
          </cell>
        </row>
        <row r="2049">
          <cell r="A2049">
            <v>13</v>
          </cell>
          <cell r="B2049">
            <v>2005</v>
          </cell>
          <cell r="C2049">
            <v>1</v>
          </cell>
          <cell r="D2049" t="str">
            <v>Service-Devt</v>
          </cell>
          <cell r="E2049" t="str">
            <v>Unknown</v>
          </cell>
          <cell r="F2049" t="str">
            <v>Conventional</v>
          </cell>
          <cell r="G2049">
            <v>0</v>
          </cell>
          <cell r="H2049" t="str">
            <v>Service/Storage</v>
          </cell>
          <cell r="I2049" t="str">
            <v>Unknown;Conventional;0;13</v>
          </cell>
          <cell r="J2049" t="str">
            <v>SK</v>
          </cell>
          <cell r="K2049" t="str">
            <v>Shallow</v>
          </cell>
          <cell r="L2049">
            <v>6</v>
          </cell>
          <cell r="M2049">
            <v>9</v>
          </cell>
        </row>
        <row r="2050">
          <cell r="A2050">
            <v>13</v>
          </cell>
          <cell r="B2050">
            <v>2006</v>
          </cell>
          <cell r="C2050">
            <v>1</v>
          </cell>
          <cell r="D2050" t="str">
            <v>Service-Devt</v>
          </cell>
          <cell r="E2050" t="str">
            <v>Unknown</v>
          </cell>
          <cell r="F2050" t="str">
            <v>Conventional</v>
          </cell>
          <cell r="G2050">
            <v>0</v>
          </cell>
          <cell r="H2050" t="str">
            <v>Service/Storage</v>
          </cell>
          <cell r="I2050" t="str">
            <v>Unknown;Conventional;0;13</v>
          </cell>
          <cell r="J2050" t="str">
            <v>SK</v>
          </cell>
          <cell r="K2050" t="str">
            <v>Deep</v>
          </cell>
          <cell r="L2050">
            <v>2</v>
          </cell>
          <cell r="M2050">
            <v>14</v>
          </cell>
        </row>
        <row r="2051">
          <cell r="A2051">
            <v>13</v>
          </cell>
          <cell r="B2051">
            <v>2006</v>
          </cell>
          <cell r="C2051">
            <v>1</v>
          </cell>
          <cell r="D2051" t="str">
            <v>Service-Devt</v>
          </cell>
          <cell r="E2051" t="str">
            <v>Unknown</v>
          </cell>
          <cell r="F2051" t="str">
            <v>Conventional</v>
          </cell>
          <cell r="G2051">
            <v>0</v>
          </cell>
          <cell r="H2051" t="str">
            <v>Service/Storage</v>
          </cell>
          <cell r="I2051" t="str">
            <v>Unknown;Conventional;0;13</v>
          </cell>
          <cell r="J2051" t="str">
            <v>SK</v>
          </cell>
          <cell r="K2051" t="str">
            <v>Medium</v>
          </cell>
          <cell r="L2051">
            <v>8</v>
          </cell>
          <cell r="M2051">
            <v>34.5</v>
          </cell>
        </row>
        <row r="2052">
          <cell r="A2052">
            <v>13</v>
          </cell>
          <cell r="B2052">
            <v>2006</v>
          </cell>
          <cell r="C2052">
            <v>1</v>
          </cell>
          <cell r="D2052" t="str">
            <v>Service-Devt</v>
          </cell>
          <cell r="E2052" t="str">
            <v>Unknown</v>
          </cell>
          <cell r="F2052" t="str">
            <v>Conventional</v>
          </cell>
          <cell r="G2052">
            <v>0</v>
          </cell>
          <cell r="H2052" t="str">
            <v>Service/Storage</v>
          </cell>
          <cell r="I2052" t="str">
            <v>Unknown;Conventional;0;13</v>
          </cell>
          <cell r="J2052" t="str">
            <v>SK</v>
          </cell>
          <cell r="K2052" t="str">
            <v>Shallow</v>
          </cell>
          <cell r="L2052">
            <v>5</v>
          </cell>
          <cell r="M2052">
            <v>7</v>
          </cell>
        </row>
        <row r="2053">
          <cell r="A2053">
            <v>13</v>
          </cell>
          <cell r="B2053">
            <v>2007</v>
          </cell>
          <cell r="C2053">
            <v>1</v>
          </cell>
          <cell r="D2053" t="str">
            <v>Service-Devt</v>
          </cell>
          <cell r="E2053" t="str">
            <v>Unknown</v>
          </cell>
          <cell r="F2053" t="str">
            <v>Conventional</v>
          </cell>
          <cell r="G2053">
            <v>0</v>
          </cell>
          <cell r="H2053" t="str">
            <v>Service/Storage</v>
          </cell>
          <cell r="I2053" t="str">
            <v>Unknown;Conventional;0;13</v>
          </cell>
          <cell r="J2053" t="str">
            <v>SK</v>
          </cell>
          <cell r="K2053" t="str">
            <v>Medium</v>
          </cell>
          <cell r="L2053">
            <v>5</v>
          </cell>
          <cell r="M2053">
            <v>81</v>
          </cell>
        </row>
        <row r="2054">
          <cell r="A2054">
            <v>13</v>
          </cell>
          <cell r="B2054">
            <v>2007</v>
          </cell>
          <cell r="C2054">
            <v>1</v>
          </cell>
          <cell r="D2054" t="str">
            <v>Service-Devt</v>
          </cell>
          <cell r="E2054" t="str">
            <v>Unknown</v>
          </cell>
          <cell r="F2054" t="str">
            <v>Conventional</v>
          </cell>
          <cell r="G2054">
            <v>0</v>
          </cell>
          <cell r="H2054" t="str">
            <v>Service/Storage</v>
          </cell>
          <cell r="I2054" t="str">
            <v>Unknown;Conventional;0;13</v>
          </cell>
          <cell r="J2054" t="str">
            <v>SK</v>
          </cell>
          <cell r="K2054" t="str">
            <v>Shallow</v>
          </cell>
          <cell r="L2054">
            <v>1</v>
          </cell>
          <cell r="M2054">
            <v>19</v>
          </cell>
        </row>
        <row r="2055">
          <cell r="A2055">
            <v>2</v>
          </cell>
          <cell r="B2055">
            <v>2002</v>
          </cell>
          <cell r="C2055">
            <v>1</v>
          </cell>
          <cell r="D2055" t="str">
            <v>Storage</v>
          </cell>
          <cell r="E2055" t="str">
            <v>Gas</v>
          </cell>
          <cell r="G2055">
            <v>0</v>
          </cell>
          <cell r="H2055" t="str">
            <v>Service/Storage</v>
          </cell>
          <cell r="I2055" t="str">
            <v>Gas;;0;2</v>
          </cell>
          <cell r="J2055" t="str">
            <v>AB</v>
          </cell>
          <cell r="K2055" t="str">
            <v>Medium</v>
          </cell>
          <cell r="L2055">
            <v>1</v>
          </cell>
          <cell r="M2055">
            <v>18</v>
          </cell>
        </row>
        <row r="2056">
          <cell r="A2056">
            <v>2</v>
          </cell>
          <cell r="B2056">
            <v>2004</v>
          </cell>
          <cell r="C2056">
            <v>1</v>
          </cell>
          <cell r="D2056" t="str">
            <v>Storage</v>
          </cell>
          <cell r="E2056" t="str">
            <v>Gas</v>
          </cell>
          <cell r="G2056">
            <v>0</v>
          </cell>
          <cell r="H2056" t="str">
            <v>Service/Storage</v>
          </cell>
          <cell r="I2056" t="str">
            <v>Gas;;0;2</v>
          </cell>
          <cell r="J2056" t="str">
            <v>AB</v>
          </cell>
          <cell r="K2056" t="str">
            <v>Medium</v>
          </cell>
          <cell r="L2056">
            <v>2</v>
          </cell>
          <cell r="M2056">
            <v>53</v>
          </cell>
        </row>
        <row r="2057">
          <cell r="A2057">
            <v>2</v>
          </cell>
          <cell r="B2057">
            <v>2004</v>
          </cell>
          <cell r="C2057">
            <v>2</v>
          </cell>
          <cell r="D2057" t="str">
            <v>Storage</v>
          </cell>
          <cell r="E2057" t="str">
            <v>Gas</v>
          </cell>
          <cell r="G2057">
            <v>0</v>
          </cell>
          <cell r="H2057" t="str">
            <v>Service/Storage</v>
          </cell>
          <cell r="I2057" t="str">
            <v>Gas;;0;2</v>
          </cell>
          <cell r="J2057" t="str">
            <v>AB</v>
          </cell>
          <cell r="K2057" t="str">
            <v>Deep</v>
          </cell>
          <cell r="L2057">
            <v>1</v>
          </cell>
          <cell r="M2057">
            <v>31</v>
          </cell>
        </row>
        <row r="2058">
          <cell r="A2058">
            <v>2</v>
          </cell>
          <cell r="B2058">
            <v>2004</v>
          </cell>
          <cell r="C2058">
            <v>2</v>
          </cell>
          <cell r="D2058" t="str">
            <v>Storage</v>
          </cell>
          <cell r="E2058" t="str">
            <v>Gas</v>
          </cell>
          <cell r="G2058">
            <v>0</v>
          </cell>
          <cell r="H2058" t="str">
            <v>Service/Storage</v>
          </cell>
          <cell r="I2058" t="str">
            <v>Gas;;0;2</v>
          </cell>
          <cell r="J2058" t="str">
            <v>AB</v>
          </cell>
          <cell r="K2058" t="str">
            <v>Medium</v>
          </cell>
          <cell r="L2058">
            <v>3</v>
          </cell>
          <cell r="M2058">
            <v>93</v>
          </cell>
        </row>
        <row r="2059">
          <cell r="A2059">
            <v>2</v>
          </cell>
          <cell r="B2059">
            <v>2005</v>
          </cell>
          <cell r="C2059">
            <v>1</v>
          </cell>
          <cell r="D2059" t="str">
            <v>Storage</v>
          </cell>
          <cell r="E2059" t="str">
            <v>Gas</v>
          </cell>
          <cell r="G2059">
            <v>0</v>
          </cell>
          <cell r="H2059" t="str">
            <v>Service/Storage</v>
          </cell>
          <cell r="I2059" t="str">
            <v>Gas;;0;2</v>
          </cell>
          <cell r="J2059" t="str">
            <v>AB</v>
          </cell>
          <cell r="K2059" t="str">
            <v>Deep</v>
          </cell>
          <cell r="L2059">
            <v>4</v>
          </cell>
          <cell r="M2059">
            <v>242</v>
          </cell>
        </row>
        <row r="2060">
          <cell r="A2060">
            <v>3</v>
          </cell>
          <cell r="B2060">
            <v>2000</v>
          </cell>
          <cell r="C2060">
            <v>1</v>
          </cell>
          <cell r="D2060" t="str">
            <v>Storage</v>
          </cell>
          <cell r="E2060" t="str">
            <v>Gas</v>
          </cell>
          <cell r="G2060">
            <v>0</v>
          </cell>
          <cell r="H2060" t="str">
            <v>Service/Storage</v>
          </cell>
          <cell r="I2060" t="str">
            <v>Gas;;0;3</v>
          </cell>
          <cell r="J2060" t="str">
            <v>AB</v>
          </cell>
          <cell r="K2060" t="str">
            <v>Medium</v>
          </cell>
          <cell r="L2060">
            <v>4</v>
          </cell>
          <cell r="M2060">
            <v>31</v>
          </cell>
        </row>
        <row r="2061">
          <cell r="A2061">
            <v>3</v>
          </cell>
          <cell r="B2061">
            <v>2000</v>
          </cell>
          <cell r="C2061">
            <v>1</v>
          </cell>
          <cell r="D2061" t="str">
            <v>Storage</v>
          </cell>
          <cell r="E2061" t="str">
            <v>Gas</v>
          </cell>
          <cell r="G2061">
            <v>0</v>
          </cell>
          <cell r="H2061" t="str">
            <v>Service/Storage</v>
          </cell>
          <cell r="I2061" t="str">
            <v>Gas;;0;3</v>
          </cell>
          <cell r="J2061" t="str">
            <v>AB</v>
          </cell>
          <cell r="K2061" t="str">
            <v>Shallow</v>
          </cell>
          <cell r="L2061">
            <v>10</v>
          </cell>
          <cell r="M2061">
            <v>34</v>
          </cell>
        </row>
        <row r="2062">
          <cell r="A2062">
            <v>3</v>
          </cell>
          <cell r="B2062">
            <v>2001</v>
          </cell>
          <cell r="C2062">
            <v>1</v>
          </cell>
          <cell r="D2062" t="str">
            <v>Storage</v>
          </cell>
          <cell r="E2062" t="str">
            <v>Gas</v>
          </cell>
          <cell r="G2062">
            <v>0</v>
          </cell>
          <cell r="H2062" t="str">
            <v>Service/Storage</v>
          </cell>
          <cell r="I2062" t="str">
            <v>Gas;;0;3</v>
          </cell>
          <cell r="J2062" t="str">
            <v>AB</v>
          </cell>
          <cell r="K2062" t="str">
            <v>MEDIUM</v>
          </cell>
          <cell r="L2062">
            <v>3</v>
          </cell>
          <cell r="M2062">
            <v>25</v>
          </cell>
        </row>
        <row r="2063">
          <cell r="A2063">
            <v>3</v>
          </cell>
          <cell r="B2063">
            <v>2001</v>
          </cell>
          <cell r="C2063">
            <v>1</v>
          </cell>
          <cell r="D2063" t="str">
            <v>Storage</v>
          </cell>
          <cell r="E2063" t="str">
            <v>Gas</v>
          </cell>
          <cell r="G2063">
            <v>0</v>
          </cell>
          <cell r="H2063" t="str">
            <v>Service/Storage</v>
          </cell>
          <cell r="I2063" t="str">
            <v>Gas;;0;3</v>
          </cell>
          <cell r="J2063" t="str">
            <v>AB</v>
          </cell>
          <cell r="K2063" t="str">
            <v>Shallow</v>
          </cell>
          <cell r="L2063">
            <v>5</v>
          </cell>
          <cell r="M2063">
            <v>14</v>
          </cell>
        </row>
        <row r="2064">
          <cell r="A2064">
            <v>3</v>
          </cell>
          <cell r="B2064">
            <v>2002</v>
          </cell>
          <cell r="C2064">
            <v>1</v>
          </cell>
          <cell r="D2064" t="str">
            <v>Storage</v>
          </cell>
          <cell r="E2064" t="str">
            <v>Gas</v>
          </cell>
          <cell r="G2064">
            <v>0</v>
          </cell>
          <cell r="H2064" t="str">
            <v>Service/Storage</v>
          </cell>
          <cell r="I2064" t="str">
            <v>Gas;;0;3</v>
          </cell>
          <cell r="J2064" t="str">
            <v>AB</v>
          </cell>
          <cell r="K2064" t="str">
            <v>Medium</v>
          </cell>
          <cell r="L2064">
            <v>4</v>
          </cell>
          <cell r="M2064">
            <v>52</v>
          </cell>
        </row>
        <row r="2065">
          <cell r="A2065">
            <v>3</v>
          </cell>
          <cell r="B2065">
            <v>2003</v>
          </cell>
          <cell r="C2065">
            <v>1</v>
          </cell>
          <cell r="D2065" t="str">
            <v>Storage</v>
          </cell>
          <cell r="E2065" t="str">
            <v>Gas</v>
          </cell>
          <cell r="G2065">
            <v>0</v>
          </cell>
          <cell r="H2065" t="str">
            <v>Service/Storage</v>
          </cell>
          <cell r="I2065" t="str">
            <v>Gas;;0;3</v>
          </cell>
          <cell r="J2065" t="str">
            <v>AB</v>
          </cell>
          <cell r="K2065" t="str">
            <v>Deep</v>
          </cell>
          <cell r="L2065">
            <v>1</v>
          </cell>
          <cell r="M2065">
            <v>17</v>
          </cell>
        </row>
        <row r="2066">
          <cell r="A2066">
            <v>3</v>
          </cell>
          <cell r="B2066">
            <v>2003</v>
          </cell>
          <cell r="C2066">
            <v>1</v>
          </cell>
          <cell r="D2066" t="str">
            <v>Storage</v>
          </cell>
          <cell r="E2066" t="str">
            <v>Gas</v>
          </cell>
          <cell r="G2066">
            <v>0</v>
          </cell>
          <cell r="H2066" t="str">
            <v>Service/Storage</v>
          </cell>
          <cell r="I2066" t="str">
            <v>Gas;;0;3</v>
          </cell>
          <cell r="J2066" t="str">
            <v>AB</v>
          </cell>
          <cell r="K2066" t="str">
            <v>Medium</v>
          </cell>
          <cell r="L2066">
            <v>19</v>
          </cell>
          <cell r="M2066">
            <v>236</v>
          </cell>
        </row>
        <row r="2067">
          <cell r="A2067">
            <v>3</v>
          </cell>
          <cell r="B2067">
            <v>2004</v>
          </cell>
          <cell r="C2067">
            <v>1</v>
          </cell>
          <cell r="D2067" t="str">
            <v>Storage</v>
          </cell>
          <cell r="E2067" t="str">
            <v>Gas</v>
          </cell>
          <cell r="G2067">
            <v>0</v>
          </cell>
          <cell r="H2067" t="str">
            <v>Service/Storage</v>
          </cell>
          <cell r="I2067" t="str">
            <v>Gas;;0;3</v>
          </cell>
          <cell r="J2067" t="str">
            <v>AB</v>
          </cell>
          <cell r="K2067" t="str">
            <v>Medium</v>
          </cell>
          <cell r="L2067">
            <v>1</v>
          </cell>
          <cell r="M2067">
            <v>8</v>
          </cell>
        </row>
        <row r="2068">
          <cell r="A2068">
            <v>3</v>
          </cell>
          <cell r="B2068">
            <v>2005</v>
          </cell>
          <cell r="C2068">
            <v>1</v>
          </cell>
          <cell r="D2068" t="str">
            <v>Storage</v>
          </cell>
          <cell r="E2068" t="str">
            <v>Gas</v>
          </cell>
          <cell r="G2068">
            <v>0</v>
          </cell>
          <cell r="H2068" t="str">
            <v>Service/Storage</v>
          </cell>
          <cell r="I2068" t="str">
            <v>Gas;;0;3</v>
          </cell>
          <cell r="J2068" t="str">
            <v>AB</v>
          </cell>
          <cell r="K2068" t="str">
            <v>Medium</v>
          </cell>
          <cell r="L2068">
            <v>6</v>
          </cell>
          <cell r="M2068">
            <v>70</v>
          </cell>
        </row>
        <row r="2069">
          <cell r="A2069">
            <v>7</v>
          </cell>
          <cell r="B2069">
            <v>2001</v>
          </cell>
          <cell r="C2069">
            <v>1</v>
          </cell>
          <cell r="D2069" t="str">
            <v>Storage</v>
          </cell>
          <cell r="E2069" t="str">
            <v>Gas</v>
          </cell>
          <cell r="G2069">
            <v>0</v>
          </cell>
          <cell r="H2069" t="str">
            <v>Service/Storage</v>
          </cell>
          <cell r="I2069" t="str">
            <v>Gas;;0;7</v>
          </cell>
          <cell r="J2069" t="str">
            <v>AB</v>
          </cell>
          <cell r="K2069" t="str">
            <v>Medium</v>
          </cell>
          <cell r="L2069">
            <v>2</v>
          </cell>
          <cell r="M2069">
            <v>17</v>
          </cell>
        </row>
        <row r="2070">
          <cell r="A2070">
            <v>11</v>
          </cell>
          <cell r="B2070">
            <v>2003</v>
          </cell>
          <cell r="C2070">
            <v>1</v>
          </cell>
          <cell r="D2070" t="str">
            <v>Storage</v>
          </cell>
          <cell r="E2070" t="str">
            <v>Gas</v>
          </cell>
          <cell r="G2070">
            <v>0</v>
          </cell>
          <cell r="H2070" t="str">
            <v>Service/Storage</v>
          </cell>
          <cell r="I2070" t="str">
            <v>Gas;;0;11</v>
          </cell>
          <cell r="J2070" t="str">
            <v>SK</v>
          </cell>
          <cell r="K2070" t="str">
            <v>MEDIUM</v>
          </cell>
          <cell r="L2070">
            <v>3</v>
          </cell>
          <cell r="M2070">
            <v>21</v>
          </cell>
        </row>
        <row r="2071">
          <cell r="A2071">
            <v>12</v>
          </cell>
          <cell r="B2071">
            <v>2005</v>
          </cell>
          <cell r="C2071">
            <v>1</v>
          </cell>
          <cell r="D2071" t="str">
            <v>Storage</v>
          </cell>
          <cell r="E2071" t="str">
            <v>LPG</v>
          </cell>
          <cell r="G2071">
            <v>0</v>
          </cell>
          <cell r="H2071" t="str">
            <v>Service/Storage</v>
          </cell>
          <cell r="I2071" t="str">
            <v>LPG;;0;12</v>
          </cell>
          <cell r="J2071" t="str">
            <v>SK</v>
          </cell>
          <cell r="K2071" t="str">
            <v>Deep</v>
          </cell>
          <cell r="L2071">
            <v>1</v>
          </cell>
          <cell r="M2071">
            <v>33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topLeftCell="A5" workbookViewId="0">
      <selection activeCell="B6" sqref="B6:D47"/>
    </sheetView>
  </sheetViews>
  <sheetFormatPr defaultRowHeight="14.5" x14ac:dyDescent="0.35"/>
  <cols>
    <col min="2" max="2" width="44.54296875" customWidth="1"/>
    <col min="3" max="3" width="48" bestFit="1" customWidth="1"/>
    <col min="4" max="4" width="46.54296875" bestFit="1" customWidth="1"/>
    <col min="5" max="5" width="38.54296875" bestFit="1" customWidth="1"/>
  </cols>
  <sheetData>
    <row r="1" spans="1:5" x14ac:dyDescent="0.35">
      <c r="A1" s="21" t="s">
        <v>66</v>
      </c>
    </row>
    <row r="2" spans="1:5" x14ac:dyDescent="0.35">
      <c r="A2" t="s">
        <v>67</v>
      </c>
    </row>
    <row r="3" spans="1:5" x14ac:dyDescent="0.35">
      <c r="A3" s="22" t="s">
        <v>68</v>
      </c>
    </row>
    <row r="6" spans="1:5" s="23" customFormat="1" x14ac:dyDescent="0.35">
      <c r="B6" s="23" t="s">
        <v>69</v>
      </c>
      <c r="C6" s="23" t="s">
        <v>70</v>
      </c>
      <c r="D6" s="23" t="s">
        <v>71</v>
      </c>
    </row>
    <row r="7" spans="1:5" x14ac:dyDescent="0.35">
      <c r="A7">
        <v>2010</v>
      </c>
      <c r="B7" s="4">
        <v>2300.0368316470349</v>
      </c>
      <c r="C7" s="4">
        <v>2300.0368316470349</v>
      </c>
      <c r="D7" s="4">
        <v>2914.924096832443</v>
      </c>
      <c r="E7">
        <f>B7/D7</f>
        <v>0.78905547974522328</v>
      </c>
    </row>
    <row r="8" spans="1:5" x14ac:dyDescent="0.35">
      <c r="A8">
        <v>2011</v>
      </c>
      <c r="B8" s="4">
        <v>2539.754192800418</v>
      </c>
      <c r="C8" s="4">
        <v>2539.7541928004175</v>
      </c>
      <c r="D8" s="4">
        <v>3307.626277087767</v>
      </c>
      <c r="E8">
        <f t="shared" ref="E8:E47" si="0">B8/D8</f>
        <v>0.76784799129016779</v>
      </c>
    </row>
    <row r="9" spans="1:5" x14ac:dyDescent="0.35">
      <c r="A9">
        <v>2012</v>
      </c>
      <c r="B9" s="4">
        <v>2849.2915649974479</v>
      </c>
      <c r="C9" s="4">
        <v>2849.2915649974479</v>
      </c>
      <c r="D9" s="4">
        <v>3388.868132497475</v>
      </c>
      <c r="E9">
        <f t="shared" si="0"/>
        <v>0.84077970980169758</v>
      </c>
    </row>
    <row r="10" spans="1:5" x14ac:dyDescent="0.35">
      <c r="A10">
        <v>2013</v>
      </c>
      <c r="B10" s="4">
        <v>3086.465947428449</v>
      </c>
      <c r="C10" s="4">
        <v>3086.465947428449</v>
      </c>
      <c r="D10" s="4">
        <v>3458.9627677299768</v>
      </c>
      <c r="E10">
        <f t="shared" si="0"/>
        <v>0.89230967624841262</v>
      </c>
    </row>
    <row r="11" spans="1:5" x14ac:dyDescent="0.35">
      <c r="A11">
        <v>2014</v>
      </c>
      <c r="B11" s="4">
        <v>3343.9965837858131</v>
      </c>
      <c r="C11" s="4">
        <v>3343.9965837858126</v>
      </c>
      <c r="D11" s="4">
        <v>3613.5408925299771</v>
      </c>
      <c r="E11">
        <f t="shared" si="0"/>
        <v>0.92540715138954854</v>
      </c>
    </row>
    <row r="12" spans="1:5" x14ac:dyDescent="0.35">
      <c r="A12">
        <v>2015</v>
      </c>
      <c r="B12" s="4">
        <v>3536.954668505156</v>
      </c>
      <c r="C12" s="4">
        <v>3536.954668505156</v>
      </c>
      <c r="D12" s="4">
        <v>3862.263304429976</v>
      </c>
      <c r="E12">
        <f t="shared" si="0"/>
        <v>0.91577253794382829</v>
      </c>
    </row>
    <row r="13" spans="1:5" x14ac:dyDescent="0.35">
      <c r="A13">
        <v>2016</v>
      </c>
      <c r="B13" s="4">
        <v>3602.8553018877478</v>
      </c>
      <c r="C13" s="4">
        <v>3602.8553018877483</v>
      </c>
      <c r="D13" s="4">
        <v>4107.3528326799778</v>
      </c>
      <c r="E13">
        <f t="shared" si="0"/>
        <v>0.87717209810216035</v>
      </c>
    </row>
    <row r="14" spans="1:5" x14ac:dyDescent="0.35">
      <c r="A14">
        <v>2017</v>
      </c>
      <c r="B14" s="4">
        <v>3892.7839750478561</v>
      </c>
      <c r="C14" s="4">
        <v>3892.7839750478561</v>
      </c>
      <c r="D14" s="4">
        <v>4207.1355429299774</v>
      </c>
      <c r="E14">
        <f t="shared" si="0"/>
        <v>0.92528133104473331</v>
      </c>
    </row>
    <row r="15" spans="1:5" x14ac:dyDescent="0.35">
      <c r="A15">
        <v>2018</v>
      </c>
      <c r="B15" s="4">
        <v>4269.4880439612507</v>
      </c>
      <c r="C15" s="4">
        <v>4269.4880439612507</v>
      </c>
      <c r="D15" s="4">
        <v>4183.3888109299769</v>
      </c>
      <c r="E15">
        <f t="shared" si="0"/>
        <v>1.0205812170282431</v>
      </c>
    </row>
    <row r="16" spans="1:5" x14ac:dyDescent="0.35">
      <c r="A16">
        <v>2019</v>
      </c>
      <c r="B16" s="4">
        <v>4250.5046419102082</v>
      </c>
      <c r="C16" s="4">
        <v>4250.5046419102082</v>
      </c>
      <c r="D16" s="4">
        <v>4257.7166921299759</v>
      </c>
      <c r="E16">
        <f t="shared" si="0"/>
        <v>0.99830612256726747</v>
      </c>
    </row>
    <row r="17" spans="1:5" x14ac:dyDescent="0.35">
      <c r="A17">
        <v>2020</v>
      </c>
      <c r="B17" s="4">
        <v>3975.136903936027</v>
      </c>
      <c r="C17" s="4">
        <v>3975.136903936027</v>
      </c>
      <c r="D17" s="4">
        <v>4280.2860384738851</v>
      </c>
      <c r="E17">
        <f t="shared" si="0"/>
        <v>0.92870823776846056</v>
      </c>
    </row>
    <row r="18" spans="1:5" x14ac:dyDescent="0.35">
      <c r="A18">
        <v>2021</v>
      </c>
      <c r="B18" s="4">
        <v>4251.414345121595</v>
      </c>
      <c r="C18" s="4">
        <v>4214.7131578555645</v>
      </c>
      <c r="D18" s="4">
        <v>4403.6677350962464</v>
      </c>
      <c r="E18">
        <f t="shared" si="0"/>
        <v>0.96542577707186539</v>
      </c>
    </row>
    <row r="19" spans="1:5" x14ac:dyDescent="0.35">
      <c r="A19">
        <v>2022</v>
      </c>
      <c r="B19" s="4">
        <v>4483.1248448126426</v>
      </c>
      <c r="C19" s="4">
        <v>4451.4105228813305</v>
      </c>
      <c r="D19" s="4">
        <v>4732.2612142329672</v>
      </c>
      <c r="E19">
        <f t="shared" si="0"/>
        <v>0.94735363114127968</v>
      </c>
    </row>
    <row r="20" spans="1:5" x14ac:dyDescent="0.35">
      <c r="A20">
        <v>2023</v>
      </c>
      <c r="B20" s="4">
        <v>4646.70041487449</v>
      </c>
      <c r="C20" s="4">
        <v>4629.0313503467387</v>
      </c>
      <c r="D20" s="4">
        <v>5226.0112142329672</v>
      </c>
      <c r="E20">
        <f t="shared" si="0"/>
        <v>0.88914857324057539</v>
      </c>
    </row>
    <row r="21" spans="1:5" x14ac:dyDescent="0.35">
      <c r="A21">
        <v>2024</v>
      </c>
      <c r="B21" s="4">
        <v>4914.7502186528063</v>
      </c>
      <c r="C21" s="4">
        <v>4928.1538566470563</v>
      </c>
      <c r="D21" s="4">
        <v>5261.8445475663002</v>
      </c>
      <c r="E21">
        <f t="shared" si="0"/>
        <v>0.93403561702064508</v>
      </c>
    </row>
    <row r="22" spans="1:5" x14ac:dyDescent="0.35">
      <c r="A22">
        <v>2025</v>
      </c>
      <c r="B22" s="4">
        <v>4975.0394104797251</v>
      </c>
      <c r="C22" s="4">
        <v>5012.9632451138314</v>
      </c>
      <c r="D22" s="4">
        <v>5261.8445475663002</v>
      </c>
      <c r="E22">
        <f t="shared" si="0"/>
        <v>0.94549342260230251</v>
      </c>
    </row>
    <row r="23" spans="1:5" x14ac:dyDescent="0.35">
      <c r="A23">
        <v>2026</v>
      </c>
      <c r="B23" s="4">
        <v>4992.4162792017678</v>
      </c>
      <c r="C23" s="4">
        <v>5072.5549396156275</v>
      </c>
      <c r="D23" s="4">
        <v>5261.8445475663002</v>
      </c>
      <c r="E23">
        <f t="shared" si="0"/>
        <v>0.94879585173432235</v>
      </c>
    </row>
    <row r="24" spans="1:5" x14ac:dyDescent="0.35">
      <c r="A24">
        <v>2027</v>
      </c>
      <c r="B24" s="4">
        <v>5062.217434900831</v>
      </c>
      <c r="C24" s="4">
        <v>5186.2466343978922</v>
      </c>
      <c r="D24" s="4">
        <v>5261.8445475663002</v>
      </c>
      <c r="E24">
        <f t="shared" si="0"/>
        <v>0.9620613815438922</v>
      </c>
    </row>
    <row r="25" spans="1:5" x14ac:dyDescent="0.35">
      <c r="A25">
        <v>2028</v>
      </c>
      <c r="B25" s="4">
        <v>5052.8458863831238</v>
      </c>
      <c r="C25" s="4">
        <v>5254.2922845538669</v>
      </c>
      <c r="D25" s="4">
        <v>5261.8445475663002</v>
      </c>
      <c r="E25">
        <f t="shared" si="0"/>
        <v>0.96028034289233377</v>
      </c>
    </row>
    <row r="26" spans="1:5" x14ac:dyDescent="0.35">
      <c r="A26">
        <v>2029</v>
      </c>
      <c r="B26" s="4">
        <v>5059.9320005654508</v>
      </c>
      <c r="C26" s="4">
        <v>5339.9486159984081</v>
      </c>
      <c r="D26" s="4">
        <v>5261.8445475663002</v>
      </c>
      <c r="E26">
        <f t="shared" si="0"/>
        <v>0.96162704063649362</v>
      </c>
    </row>
    <row r="27" spans="1:5" x14ac:dyDescent="0.35">
      <c r="A27">
        <v>2030</v>
      </c>
      <c r="B27" s="4">
        <v>5028.7605167147103</v>
      </c>
      <c r="C27" s="4">
        <v>5293.201741429767</v>
      </c>
      <c r="D27" s="4">
        <v>5261.8445475663002</v>
      </c>
      <c r="E27">
        <f t="shared" si="0"/>
        <v>0.9557029804387901</v>
      </c>
    </row>
    <row r="28" spans="1:5" x14ac:dyDescent="0.35">
      <c r="A28">
        <v>2031</v>
      </c>
      <c r="B28" s="4">
        <v>4989.5713093032864</v>
      </c>
      <c r="C28" s="4">
        <v>5419.3602705797275</v>
      </c>
      <c r="D28" s="4">
        <v>5261.8445475663002</v>
      </c>
      <c r="E28">
        <f t="shared" si="0"/>
        <v>0.94825517253470648</v>
      </c>
    </row>
    <row r="29" spans="1:5" x14ac:dyDescent="0.35">
      <c r="A29">
        <v>2032</v>
      </c>
      <c r="B29" s="4">
        <v>4947.9289512514779</v>
      </c>
      <c r="C29" s="4">
        <v>5515.1098351310939</v>
      </c>
      <c r="D29" s="4">
        <v>5261.8445475663002</v>
      </c>
      <c r="E29">
        <f t="shared" si="0"/>
        <v>0.94034114967155125</v>
      </c>
    </row>
    <row r="30" spans="1:5" x14ac:dyDescent="0.35">
      <c r="A30">
        <v>2033</v>
      </c>
      <c r="B30" s="4">
        <v>4984.7981959095932</v>
      </c>
      <c r="C30" s="4">
        <v>5657.4376489519091</v>
      </c>
      <c r="D30" s="4">
        <v>5261.8445475663002</v>
      </c>
      <c r="E30">
        <f t="shared" si="0"/>
        <v>0.94734805463136573</v>
      </c>
    </row>
    <row r="31" spans="1:5" x14ac:dyDescent="0.35">
      <c r="A31">
        <v>2034</v>
      </c>
      <c r="B31" s="4">
        <v>4974.1780703372096</v>
      </c>
      <c r="C31" s="4">
        <v>5728.7985086686349</v>
      </c>
      <c r="D31" s="4">
        <v>5261.8445475663002</v>
      </c>
      <c r="E31">
        <f t="shared" si="0"/>
        <v>0.94532972712731667</v>
      </c>
    </row>
    <row r="32" spans="1:5" x14ac:dyDescent="0.35">
      <c r="A32">
        <v>2035</v>
      </c>
      <c r="B32" s="4">
        <v>4910.8319628524841</v>
      </c>
      <c r="C32" s="4">
        <v>5755.2658175711258</v>
      </c>
      <c r="D32" s="4">
        <v>5261.8445475663002</v>
      </c>
      <c r="E32">
        <f t="shared" si="0"/>
        <v>0.93329096260052646</v>
      </c>
    </row>
    <row r="33" spans="1:5" x14ac:dyDescent="0.35">
      <c r="A33">
        <v>2036</v>
      </c>
      <c r="B33" s="4">
        <v>4832.4942862143171</v>
      </c>
      <c r="C33" s="4">
        <v>5750.3595599510581</v>
      </c>
      <c r="D33" s="4">
        <v>5261.8445475663002</v>
      </c>
      <c r="E33">
        <f t="shared" si="0"/>
        <v>0.91840308897940259</v>
      </c>
    </row>
    <row r="34" spans="1:5" x14ac:dyDescent="0.35">
      <c r="A34">
        <v>2037</v>
      </c>
      <c r="B34" s="4">
        <v>4783.4358285860862</v>
      </c>
      <c r="C34" s="4">
        <v>5762.0363664089409</v>
      </c>
      <c r="D34" s="4">
        <v>5261.8445475663002</v>
      </c>
      <c r="E34">
        <f t="shared" si="0"/>
        <v>0.90907965549809211</v>
      </c>
    </row>
    <row r="35" spans="1:5" x14ac:dyDescent="0.35">
      <c r="A35">
        <v>2038</v>
      </c>
      <c r="B35" s="4">
        <v>4722.0223555793154</v>
      </c>
      <c r="C35" s="4">
        <v>5769.5934728201601</v>
      </c>
      <c r="D35" s="4">
        <v>5261.8445475663002</v>
      </c>
      <c r="E35">
        <f t="shared" si="0"/>
        <v>0.8974081831747267</v>
      </c>
    </row>
    <row r="36" spans="1:5" x14ac:dyDescent="0.35">
      <c r="A36">
        <v>2039</v>
      </c>
      <c r="B36" s="4">
        <v>4670.9564496025596</v>
      </c>
      <c r="C36" s="4">
        <v>5768.7673764671099</v>
      </c>
      <c r="D36" s="4">
        <v>5261.8445475663002</v>
      </c>
      <c r="E36">
        <f t="shared" si="0"/>
        <v>0.88770323930663497</v>
      </c>
    </row>
    <row r="37" spans="1:5" x14ac:dyDescent="0.35">
      <c r="A37">
        <v>2040</v>
      </c>
      <c r="B37" s="4">
        <v>4615.7385455751028</v>
      </c>
      <c r="C37" s="4">
        <v>5751.5011889056523</v>
      </c>
      <c r="D37" s="4">
        <v>5261.8445475663002</v>
      </c>
      <c r="E37">
        <f t="shared" si="0"/>
        <v>0.87720921890593795</v>
      </c>
    </row>
    <row r="38" spans="1:5" x14ac:dyDescent="0.35">
      <c r="A38">
        <v>2041</v>
      </c>
      <c r="B38" s="4">
        <v>4590.0173362948381</v>
      </c>
      <c r="C38" s="4">
        <v>5778.7782519865168</v>
      </c>
      <c r="D38" s="4">
        <v>5261.8445475663002</v>
      </c>
      <c r="E38">
        <f t="shared" si="0"/>
        <v>0.8723209693486299</v>
      </c>
    </row>
    <row r="39" spans="1:5" x14ac:dyDescent="0.35">
      <c r="A39">
        <v>2042</v>
      </c>
      <c r="B39" s="4">
        <v>4553.7747773403253</v>
      </c>
      <c r="C39" s="4">
        <v>5780.996691194011</v>
      </c>
      <c r="D39" s="4">
        <v>5261.8445475663002</v>
      </c>
      <c r="E39">
        <f t="shared" si="0"/>
        <v>0.86543316439223383</v>
      </c>
    </row>
    <row r="40" spans="1:5" x14ac:dyDescent="0.35">
      <c r="A40">
        <v>2043</v>
      </c>
      <c r="B40" s="4">
        <v>4518.0740520102354</v>
      </c>
      <c r="C40" s="4">
        <v>5783.4575515490724</v>
      </c>
      <c r="D40" s="4">
        <v>5261.8445475663002</v>
      </c>
      <c r="E40">
        <f t="shared" si="0"/>
        <v>0.85864833352021541</v>
      </c>
    </row>
    <row r="41" spans="1:5" x14ac:dyDescent="0.35">
      <c r="A41">
        <v>2044</v>
      </c>
      <c r="B41" s="4">
        <v>4469.9245111222308</v>
      </c>
      <c r="C41" s="4">
        <v>5772.3939610010011</v>
      </c>
      <c r="D41" s="4">
        <v>5261.8445475663002</v>
      </c>
      <c r="E41">
        <f t="shared" si="0"/>
        <v>0.84949763732371242</v>
      </c>
    </row>
    <row r="42" spans="1:5" x14ac:dyDescent="0.35">
      <c r="A42">
        <v>2045</v>
      </c>
      <c r="B42" s="4">
        <v>4448.5204858352608</v>
      </c>
      <c r="C42" s="4">
        <v>5801.2829038888203</v>
      </c>
      <c r="D42" s="4">
        <v>5261.8445475663002</v>
      </c>
      <c r="E42">
        <f t="shared" si="0"/>
        <v>0.84542985746182553</v>
      </c>
    </row>
    <row r="43" spans="1:5" x14ac:dyDescent="0.35">
      <c r="A43">
        <v>2046</v>
      </c>
      <c r="B43" s="4">
        <v>4414.4893117113706</v>
      </c>
      <c r="C43" s="4">
        <v>5827.9577194777185</v>
      </c>
      <c r="D43" s="4">
        <v>5261.8445475663002</v>
      </c>
      <c r="E43">
        <f t="shared" si="0"/>
        <v>0.83896232049522501</v>
      </c>
    </row>
    <row r="44" spans="1:5" x14ac:dyDescent="0.35">
      <c r="A44">
        <v>2047</v>
      </c>
      <c r="B44" s="4">
        <v>4380.942691073732</v>
      </c>
      <c r="C44" s="4">
        <v>5841.9225355344533</v>
      </c>
      <c r="D44" s="4">
        <v>5261.8445475663002</v>
      </c>
      <c r="E44">
        <f t="shared" si="0"/>
        <v>0.83258687167031542</v>
      </c>
    </row>
    <row r="45" spans="1:5" x14ac:dyDescent="0.35">
      <c r="A45">
        <v>2048</v>
      </c>
      <c r="B45" s="4">
        <v>4334.9322289623269</v>
      </c>
      <c r="C45" s="4">
        <v>5840.8220069605568</v>
      </c>
      <c r="D45" s="4">
        <v>5261.8445475663002</v>
      </c>
      <c r="E45">
        <f t="shared" si="0"/>
        <v>0.82384270188432551</v>
      </c>
    </row>
    <row r="46" spans="1:5" x14ac:dyDescent="0.35">
      <c r="A46">
        <v>2049</v>
      </c>
      <c r="B46" s="4">
        <v>4315.3743310599093</v>
      </c>
      <c r="C46" s="4">
        <v>5871.2527647153647</v>
      </c>
      <c r="D46" s="4">
        <v>5261.8445475663002</v>
      </c>
      <c r="E46">
        <f t="shared" si="0"/>
        <v>0.82012577377563334</v>
      </c>
    </row>
    <row r="47" spans="1:5" x14ac:dyDescent="0.35">
      <c r="A47">
        <v>2050</v>
      </c>
      <c r="B47" s="4">
        <v>4283.4646134712848</v>
      </c>
      <c r="C47" s="4">
        <v>5833.6654811531289</v>
      </c>
      <c r="D47" s="4">
        <v>5261.8445475663002</v>
      </c>
      <c r="E47">
        <f t="shared" si="0"/>
        <v>0.81406141415798117</v>
      </c>
    </row>
  </sheetData>
  <hyperlinks>
    <hyperlink ref="A3" location="'Table of Contents'!A1" display="Table of Content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0"/>
  <sheetViews>
    <sheetView tabSelected="1" topLeftCell="G1" workbookViewId="0">
      <selection activeCell="AD6" sqref="AD6"/>
    </sheetView>
  </sheetViews>
  <sheetFormatPr defaultColWidth="8.7265625" defaultRowHeight="14.5" x14ac:dyDescent="0.35"/>
  <cols>
    <col min="2" max="10" width="21.7265625" customWidth="1"/>
    <col min="11" max="13" width="10.7265625" style="2" customWidth="1"/>
    <col min="15" max="15" width="21.7265625" customWidth="1"/>
  </cols>
  <sheetData>
    <row r="1" spans="1:30" x14ac:dyDescent="0.35">
      <c r="A1" s="1" t="s">
        <v>0</v>
      </c>
    </row>
    <row r="2" spans="1:30" x14ac:dyDescent="0.35">
      <c r="K2"/>
      <c r="L2"/>
      <c r="M2"/>
      <c r="O2">
        <f>(560-50+87)/6.2929</f>
        <v>94.868820416660043</v>
      </c>
      <c r="S2" s="2"/>
    </row>
    <row r="3" spans="1:30" s="6" customFormat="1" ht="63.5" x14ac:dyDescent="0.35">
      <c r="A3" s="6" t="s">
        <v>76</v>
      </c>
      <c r="B3" s="6" t="s">
        <v>1</v>
      </c>
      <c r="C3" s="6" t="s">
        <v>2</v>
      </c>
      <c r="D3" s="6" t="s">
        <v>3</v>
      </c>
      <c r="E3" s="6" t="s">
        <v>4</v>
      </c>
      <c r="F3" s="6" t="s">
        <v>5</v>
      </c>
      <c r="G3" s="6" t="s">
        <v>6</v>
      </c>
      <c r="H3" s="6" t="s">
        <v>90</v>
      </c>
      <c r="I3" s="6" t="s">
        <v>91</v>
      </c>
      <c r="J3" s="6" t="s">
        <v>92</v>
      </c>
      <c r="K3" s="8" t="s">
        <v>97</v>
      </c>
      <c r="L3" s="8" t="s">
        <v>9</v>
      </c>
      <c r="M3" s="8" t="s">
        <v>10</v>
      </c>
      <c r="N3" s="8" t="s">
        <v>29</v>
      </c>
      <c r="O3" s="8" t="s">
        <v>28</v>
      </c>
      <c r="P3" s="9" t="s">
        <v>11</v>
      </c>
      <c r="Q3" s="9" t="s">
        <v>30</v>
      </c>
      <c r="R3" s="9" t="s">
        <v>95</v>
      </c>
      <c r="S3" s="8" t="s">
        <v>27</v>
      </c>
      <c r="T3" s="9" t="s">
        <v>96</v>
      </c>
      <c r="U3" s="9" t="s">
        <v>13</v>
      </c>
      <c r="V3" s="6" t="s">
        <v>32</v>
      </c>
      <c r="W3" s="6" t="s">
        <v>33</v>
      </c>
      <c r="X3" s="6" t="s">
        <v>34</v>
      </c>
      <c r="Y3" s="6" t="s">
        <v>35</v>
      </c>
      <c r="Z3" s="6" t="s">
        <v>36</v>
      </c>
      <c r="AA3" s="6" t="s">
        <v>72</v>
      </c>
      <c r="AB3" s="6" t="s">
        <v>73</v>
      </c>
      <c r="AC3" s="6" t="s">
        <v>74</v>
      </c>
      <c r="AD3" s="6" t="s">
        <v>98</v>
      </c>
    </row>
    <row r="4" spans="1:30" x14ac:dyDescent="0.35">
      <c r="A4">
        <v>2010</v>
      </c>
      <c r="B4" s="4">
        <v>397</v>
      </c>
      <c r="C4" s="4">
        <v>32</v>
      </c>
      <c r="D4" s="4">
        <v>47</v>
      </c>
      <c r="E4" s="4">
        <v>35.6</v>
      </c>
      <c r="F4" s="4">
        <v>22.384475906584338</v>
      </c>
      <c r="G4" s="4">
        <v>0</v>
      </c>
      <c r="H4" s="4">
        <f t="shared" ref="H4:H16" si="0">SUM(B4:G4)-G4</f>
        <v>533.98447590658441</v>
      </c>
      <c r="I4" s="4">
        <f>AC4/6.2981</f>
        <v>462.82594700504012</v>
      </c>
      <c r="J4" s="4">
        <f>I4-H4</f>
        <v>-71.158528901544287</v>
      </c>
      <c r="K4" s="4"/>
      <c r="L4" s="4"/>
      <c r="M4" s="4"/>
      <c r="N4" s="2">
        <f>T4/6.2929-Q4+U4</f>
        <v>355.86517691959511</v>
      </c>
      <c r="O4" s="4">
        <v>357</v>
      </c>
      <c r="P4" s="2">
        <v>6.5</v>
      </c>
      <c r="Q4">
        <v>69</v>
      </c>
      <c r="R4" s="2">
        <v>2667.8101131531571</v>
      </c>
      <c r="S4" s="2">
        <f t="shared" ref="S4:S29" si="1">R4/6.2929-Q4+U4</f>
        <v>354.93969603094865</v>
      </c>
      <c r="T4" s="2">
        <v>2673.6340718373203</v>
      </c>
      <c r="U4" s="3">
        <v>0</v>
      </c>
      <c r="V4">
        <v>2667.8101131531571</v>
      </c>
      <c r="W4">
        <v>2196.7771089093626</v>
      </c>
      <c r="X4">
        <f>W4/6.2929</f>
        <v>349.0881960478257</v>
      </c>
      <c r="Y4">
        <v>349.17282891335833</v>
      </c>
      <c r="Z4">
        <v>349.17282891335833</v>
      </c>
      <c r="AA4" s="4">
        <v>2300.0368316470349</v>
      </c>
      <c r="AB4" s="4">
        <v>2300.0368316470349</v>
      </c>
      <c r="AC4" s="4">
        <v>2914.924096832443</v>
      </c>
      <c r="AD4" s="4"/>
    </row>
    <row r="5" spans="1:30" x14ac:dyDescent="0.35">
      <c r="A5">
        <v>2011</v>
      </c>
      <c r="B5" s="4">
        <v>397</v>
      </c>
      <c r="C5" s="4">
        <v>28</v>
      </c>
      <c r="D5" s="4">
        <v>36</v>
      </c>
      <c r="E5" s="4">
        <v>80.599999999999994</v>
      </c>
      <c r="F5" s="4">
        <v>22.384475906584338</v>
      </c>
      <c r="G5" s="4">
        <v>0</v>
      </c>
      <c r="H5" s="4">
        <f t="shared" si="0"/>
        <v>563.98447590658441</v>
      </c>
      <c r="I5" s="4">
        <f t="shared" ref="I5:I44" si="2">AC5/6.2981</f>
        <v>525.178431128081</v>
      </c>
      <c r="J5" s="4">
        <f t="shared" ref="J5:J44" si="3">I5-H5</f>
        <v>-38.806044778503406</v>
      </c>
      <c r="K5" s="4"/>
      <c r="L5" s="4"/>
      <c r="M5" s="4"/>
      <c r="N5" s="2">
        <f t="shared" ref="N5:N24" si="4">T5/6.2929-Q5+U5</f>
        <v>388.59902759036441</v>
      </c>
      <c r="O5" s="4">
        <v>388</v>
      </c>
      <c r="P5" s="2">
        <v>6.5</v>
      </c>
      <c r="Q5">
        <v>76</v>
      </c>
      <c r="R5" s="2">
        <v>2899.9742067165289</v>
      </c>
      <c r="S5" s="2">
        <f t="shared" si="1"/>
        <v>384.83271730307627</v>
      </c>
      <c r="T5" s="2">
        <v>2923.6752207234044</v>
      </c>
      <c r="U5" s="3">
        <v>0</v>
      </c>
      <c r="V5">
        <v>2899.9742067165289</v>
      </c>
      <c r="W5">
        <v>2419.0307329384241</v>
      </c>
      <c r="X5">
        <f t="shared" ref="X5:X34" si="5">W5/6.2929</f>
        <v>384.40635206954249</v>
      </c>
      <c r="Y5">
        <v>384.46590205206314</v>
      </c>
      <c r="Z5">
        <v>384.46590205206314</v>
      </c>
      <c r="AA5" s="4">
        <v>2539.754192800418</v>
      </c>
      <c r="AB5" s="4">
        <v>2539.7541928004175</v>
      </c>
      <c r="AC5" s="4">
        <v>3307.626277087767</v>
      </c>
      <c r="AD5" s="4"/>
    </row>
    <row r="6" spans="1:30" x14ac:dyDescent="0.35">
      <c r="A6">
        <v>2012</v>
      </c>
      <c r="B6" s="4">
        <v>397</v>
      </c>
      <c r="C6" s="4">
        <v>30</v>
      </c>
      <c r="D6" s="4">
        <v>44</v>
      </c>
      <c r="E6" s="4">
        <v>83.5</v>
      </c>
      <c r="F6" s="4">
        <v>22.384475906584338</v>
      </c>
      <c r="G6" s="4">
        <v>0</v>
      </c>
      <c r="H6" s="4">
        <f t="shared" si="0"/>
        <v>576.88447590658438</v>
      </c>
      <c r="I6" s="4">
        <f t="shared" si="2"/>
        <v>538.07785403494313</v>
      </c>
      <c r="J6" s="4">
        <f t="shared" si="3"/>
        <v>-38.806621871641255</v>
      </c>
      <c r="K6" s="4">
        <v>66</v>
      </c>
      <c r="L6" s="4"/>
      <c r="M6" s="4"/>
      <c r="N6" s="2">
        <f t="shared" si="4"/>
        <v>435.84037029651927</v>
      </c>
      <c r="O6" s="4">
        <v>441</v>
      </c>
      <c r="P6" s="2">
        <v>6.5</v>
      </c>
      <c r="Q6">
        <v>79</v>
      </c>
      <c r="R6" s="2">
        <v>3222.4605517401837</v>
      </c>
      <c r="S6" s="2">
        <f t="shared" si="1"/>
        <v>433.0787795356963</v>
      </c>
      <c r="T6" s="2">
        <v>3239.8389662389663</v>
      </c>
      <c r="U6" s="5">
        <v>0</v>
      </c>
      <c r="V6">
        <v>3222.4605517401837</v>
      </c>
      <c r="W6">
        <v>2710.8170507496025</v>
      </c>
      <c r="X6">
        <f t="shared" si="5"/>
        <v>430.77389609712571</v>
      </c>
      <c r="Y6">
        <v>430.7950385997525</v>
      </c>
      <c r="Z6">
        <v>430.7950385997525</v>
      </c>
      <c r="AA6" s="4">
        <v>2849.2915649974479</v>
      </c>
      <c r="AB6" s="4">
        <v>2849.2915649974479</v>
      </c>
      <c r="AC6" s="4">
        <v>3388.868132497475</v>
      </c>
      <c r="AD6">
        <v>3100</v>
      </c>
    </row>
    <row r="7" spans="1:30" x14ac:dyDescent="0.35">
      <c r="A7">
        <v>2013</v>
      </c>
      <c r="B7" s="4">
        <v>397</v>
      </c>
      <c r="C7" s="4">
        <v>32</v>
      </c>
      <c r="D7" s="4">
        <v>39</v>
      </c>
      <c r="E7" s="4">
        <v>82.8</v>
      </c>
      <c r="F7" s="4">
        <v>22.384475906584338</v>
      </c>
      <c r="G7" s="4">
        <v>11</v>
      </c>
      <c r="H7" s="4">
        <f t="shared" si="0"/>
        <v>573.18447590658434</v>
      </c>
      <c r="I7" s="4">
        <f t="shared" si="2"/>
        <v>549.20734312411309</v>
      </c>
      <c r="J7" s="4">
        <f t="shared" si="3"/>
        <v>-23.977132782471244</v>
      </c>
      <c r="K7" s="4">
        <v>132</v>
      </c>
      <c r="L7" s="4"/>
      <c r="M7" s="4"/>
      <c r="N7" s="2">
        <f t="shared" si="4"/>
        <v>477.79989006695087</v>
      </c>
      <c r="O7" s="4">
        <v>465</v>
      </c>
      <c r="P7" s="2">
        <v>6.5</v>
      </c>
      <c r="Q7">
        <v>79</v>
      </c>
      <c r="R7" s="2">
        <v>3450.6708671457336</v>
      </c>
      <c r="S7" s="2">
        <f t="shared" si="1"/>
        <v>474.34350889823986</v>
      </c>
      <c r="T7" s="2">
        <v>3472.4215282023156</v>
      </c>
      <c r="U7" s="3">
        <v>5</v>
      </c>
      <c r="V7">
        <v>3450.6708671457336</v>
      </c>
      <c r="W7">
        <v>2942.6771306684564</v>
      </c>
      <c r="X7">
        <f t="shared" si="5"/>
        <v>467.6186067899468</v>
      </c>
      <c r="Y7">
        <v>467.88835392604324</v>
      </c>
      <c r="Z7">
        <v>467.88835392604324</v>
      </c>
      <c r="AA7" s="4">
        <v>3086.465947428449</v>
      </c>
      <c r="AB7" s="4">
        <v>3086.465947428449</v>
      </c>
      <c r="AC7" s="4">
        <v>3458.9627677299768</v>
      </c>
      <c r="AD7">
        <v>3300</v>
      </c>
    </row>
    <row r="8" spans="1:30" x14ac:dyDescent="0.35">
      <c r="A8">
        <v>2014</v>
      </c>
      <c r="B8" s="4">
        <v>416</v>
      </c>
      <c r="C8" s="4">
        <v>31</v>
      </c>
      <c r="D8" s="4">
        <v>50</v>
      </c>
      <c r="E8" s="4">
        <v>87.2</v>
      </c>
      <c r="F8" s="4">
        <v>22.384475906584338</v>
      </c>
      <c r="G8" s="4">
        <v>25</v>
      </c>
      <c r="H8" s="4">
        <f t="shared" si="0"/>
        <v>606.58447590658443</v>
      </c>
      <c r="I8" s="4">
        <f t="shared" si="2"/>
        <v>573.75095545164049</v>
      </c>
      <c r="J8" s="4">
        <f t="shared" si="3"/>
        <v>-32.833520454943937</v>
      </c>
      <c r="K8" s="4">
        <v>132</v>
      </c>
      <c r="L8" s="4"/>
      <c r="M8" s="4"/>
      <c r="N8" s="2">
        <f t="shared" si="4"/>
        <v>508.86809894693477</v>
      </c>
      <c r="O8" s="4">
        <v>514</v>
      </c>
      <c r="P8" s="2">
        <v>6.5</v>
      </c>
      <c r="Q8">
        <v>83</v>
      </c>
      <c r="R8" s="2">
        <v>3799.8118811134868</v>
      </c>
      <c r="S8" s="2">
        <f t="shared" si="1"/>
        <v>530.82524449991047</v>
      </c>
      <c r="T8" s="2">
        <v>3661.6377598631657</v>
      </c>
      <c r="U8" s="3">
        <v>10</v>
      </c>
      <c r="V8">
        <v>3799.8118811134868</v>
      </c>
      <c r="W8">
        <v>3188.1333353245095</v>
      </c>
      <c r="X8">
        <f t="shared" si="5"/>
        <v>506.62386742591002</v>
      </c>
      <c r="Y8">
        <v>506.6833022218816</v>
      </c>
      <c r="Z8">
        <v>506.6833022218816</v>
      </c>
      <c r="AA8" s="4">
        <v>3343.9965837858131</v>
      </c>
      <c r="AB8" s="4">
        <v>3343.9965837858126</v>
      </c>
      <c r="AC8" s="4">
        <v>3613.5408925299771</v>
      </c>
      <c r="AD8">
        <v>3500</v>
      </c>
    </row>
    <row r="9" spans="1:30" x14ac:dyDescent="0.35">
      <c r="A9">
        <v>2015</v>
      </c>
      <c r="B9" s="4">
        <v>453</v>
      </c>
      <c r="C9" s="4">
        <f>280/6.2929</f>
        <v>44.494589140142061</v>
      </c>
      <c r="D9" s="4">
        <v>45</v>
      </c>
      <c r="E9" s="4">
        <v>93.1</v>
      </c>
      <c r="F9" s="4">
        <v>22.384475906584338</v>
      </c>
      <c r="G9" s="4">
        <v>23</v>
      </c>
      <c r="H9" s="4">
        <f t="shared" si="0"/>
        <v>657.97906504672653</v>
      </c>
      <c r="I9" s="4">
        <f t="shared" si="2"/>
        <v>613.24261355487783</v>
      </c>
      <c r="J9" s="4">
        <f t="shared" si="3"/>
        <v>-44.736451491848698</v>
      </c>
      <c r="K9" s="4">
        <v>132</v>
      </c>
      <c r="L9" s="4"/>
      <c r="M9" s="4"/>
      <c r="N9" s="2">
        <f t="shared" si="4"/>
        <v>557.30064931468462</v>
      </c>
      <c r="O9" s="4">
        <v>544</v>
      </c>
      <c r="P9" s="2">
        <v>6.5</v>
      </c>
      <c r="Q9">
        <v>83</v>
      </c>
      <c r="R9" s="2">
        <v>3981.7356044975877</v>
      </c>
      <c r="S9" s="2">
        <f t="shared" si="1"/>
        <v>564.73460638141194</v>
      </c>
      <c r="T9" s="2">
        <v>3934.9544560723789</v>
      </c>
      <c r="U9" s="3">
        <v>15</v>
      </c>
      <c r="V9">
        <v>3981.7356044975877</v>
      </c>
      <c r="W9">
        <v>3394.3286872549638</v>
      </c>
      <c r="X9">
        <f t="shared" si="5"/>
        <v>539.39021552145493</v>
      </c>
      <c r="Y9">
        <v>541.27707255588712</v>
      </c>
      <c r="Z9">
        <v>541.27707255588712</v>
      </c>
      <c r="AA9" s="4">
        <v>3536.954668505156</v>
      </c>
      <c r="AB9" s="4">
        <v>3536.954668505156</v>
      </c>
      <c r="AC9" s="4">
        <v>3862.263304429976</v>
      </c>
      <c r="AD9">
        <v>3650</v>
      </c>
    </row>
    <row r="10" spans="1:30" x14ac:dyDescent="0.35">
      <c r="A10">
        <v>2016</v>
      </c>
      <c r="B10" s="4">
        <v>453</v>
      </c>
      <c r="C10" s="4">
        <f t="shared" ref="C10:C13" si="6">280/6.2929</f>
        <v>44.494589140142061</v>
      </c>
      <c r="D10" s="4">
        <v>46</v>
      </c>
      <c r="E10" s="4">
        <v>95.1</v>
      </c>
      <c r="F10" s="4">
        <v>22.384475906584338</v>
      </c>
      <c r="G10" s="4">
        <v>52</v>
      </c>
      <c r="H10" s="4">
        <f t="shared" si="0"/>
        <v>660.97906504672653</v>
      </c>
      <c r="I10" s="4">
        <f t="shared" si="2"/>
        <v>652.15744949746397</v>
      </c>
      <c r="J10" s="4">
        <f t="shared" si="3"/>
        <v>-8.8216155492625603</v>
      </c>
      <c r="K10" s="4">
        <v>132</v>
      </c>
      <c r="L10" s="4"/>
      <c r="M10" s="4"/>
      <c r="N10" s="2">
        <f t="shared" si="4"/>
        <v>619.72999222827559</v>
      </c>
      <c r="O10" s="4">
        <v>597</v>
      </c>
      <c r="P10" s="2">
        <v>6.5</v>
      </c>
      <c r="Q10">
        <v>79.3</v>
      </c>
      <c r="R10" s="2">
        <v>3910.2335216648885</v>
      </c>
      <c r="S10" s="2">
        <f t="shared" si="1"/>
        <v>565.07226424460714</v>
      </c>
      <c r="T10" s="2">
        <v>4254.1891380933157</v>
      </c>
      <c r="U10" s="3">
        <v>23</v>
      </c>
      <c r="V10">
        <v>3910.2335216648885</v>
      </c>
      <c r="W10">
        <v>3472.4553677753834</v>
      </c>
      <c r="X10">
        <f t="shared" si="5"/>
        <v>551.80526748802356</v>
      </c>
      <c r="Y10">
        <v>553.55108409693332</v>
      </c>
      <c r="Z10">
        <v>553.55108409693332</v>
      </c>
      <c r="AA10" s="4">
        <v>3602.8553018877478</v>
      </c>
      <c r="AB10" s="4">
        <v>3602.8553018877483</v>
      </c>
      <c r="AC10" s="4">
        <v>4107.3528326799778</v>
      </c>
      <c r="AD10">
        <v>3800</v>
      </c>
    </row>
    <row r="11" spans="1:30" x14ac:dyDescent="0.35">
      <c r="A11">
        <v>2017</v>
      </c>
      <c r="B11" s="4">
        <v>453</v>
      </c>
      <c r="C11" s="4">
        <f t="shared" si="6"/>
        <v>44.494589140142061</v>
      </c>
      <c r="D11" s="4">
        <v>49</v>
      </c>
      <c r="E11" s="4">
        <v>92.6</v>
      </c>
      <c r="F11" s="4">
        <v>22.384475906584338</v>
      </c>
      <c r="G11" s="4">
        <v>83</v>
      </c>
      <c r="H11" s="4">
        <f t="shared" si="0"/>
        <v>661.47906504672653</v>
      </c>
      <c r="I11" s="4">
        <f t="shared" si="2"/>
        <v>668.00075307314546</v>
      </c>
      <c r="J11" s="4">
        <f t="shared" si="3"/>
        <v>6.5216880264189285</v>
      </c>
      <c r="K11" s="4">
        <v>132</v>
      </c>
      <c r="L11" s="4"/>
      <c r="M11" s="4"/>
      <c r="N11" s="2">
        <f t="shared" si="4"/>
        <v>652.48306251665929</v>
      </c>
      <c r="O11" s="4">
        <v>628</v>
      </c>
      <c r="P11" s="2">
        <v>6.5</v>
      </c>
      <c r="Q11">
        <v>78</v>
      </c>
      <c r="R11" s="2">
        <v>4194.4090576045164</v>
      </c>
      <c r="S11" s="2">
        <f t="shared" si="1"/>
        <v>611.53038465644079</v>
      </c>
      <c r="T11" s="2">
        <v>4452.1201641110856</v>
      </c>
      <c r="U11" s="3">
        <v>23</v>
      </c>
      <c r="V11">
        <v>4194.4090576045164</v>
      </c>
      <c r="W11">
        <v>3776.0591363598614</v>
      </c>
      <c r="X11">
        <f t="shared" si="5"/>
        <v>600.05071371861322</v>
      </c>
      <c r="Y11">
        <v>602.20114059880632</v>
      </c>
      <c r="Z11">
        <v>602.20114059880632</v>
      </c>
      <c r="AA11" s="4">
        <v>3892.7839750478561</v>
      </c>
      <c r="AB11" s="4">
        <v>3892.7839750478561</v>
      </c>
      <c r="AC11" s="4">
        <v>4207.1355429299774</v>
      </c>
      <c r="AD11">
        <v>3975</v>
      </c>
    </row>
    <row r="12" spans="1:30" x14ac:dyDescent="0.35">
      <c r="A12">
        <v>2018</v>
      </c>
      <c r="B12" s="4">
        <v>453</v>
      </c>
      <c r="C12" s="4">
        <f t="shared" si="6"/>
        <v>44.494589140142061</v>
      </c>
      <c r="D12" s="4">
        <v>50</v>
      </c>
      <c r="E12" s="4">
        <v>93.7</v>
      </c>
      <c r="F12" s="4">
        <v>22.384475906584338</v>
      </c>
      <c r="G12" s="4">
        <v>69</v>
      </c>
      <c r="H12" s="4">
        <f t="shared" si="0"/>
        <v>663.57906504672656</v>
      </c>
      <c r="I12" s="4">
        <f t="shared" si="2"/>
        <v>664.23029341070753</v>
      </c>
      <c r="J12" s="4">
        <f t="shared" si="3"/>
        <v>0.65122836398097661</v>
      </c>
      <c r="K12" s="4">
        <v>132</v>
      </c>
      <c r="L12" s="4">
        <v>42</v>
      </c>
      <c r="M12" s="4"/>
      <c r="N12" s="2">
        <f t="shared" si="4"/>
        <v>685.48453687721212</v>
      </c>
      <c r="O12" s="4">
        <v>630</v>
      </c>
      <c r="P12" s="2">
        <v>6.5</v>
      </c>
      <c r="Q12">
        <v>78</v>
      </c>
      <c r="R12" s="2">
        <v>4540.1730988220679</v>
      </c>
      <c r="S12" s="2">
        <f t="shared" si="1"/>
        <v>666.47548806147688</v>
      </c>
      <c r="T12" s="2">
        <v>4659.7951421146081</v>
      </c>
      <c r="U12" s="3">
        <v>23</v>
      </c>
      <c r="V12">
        <v>4657.3819938835068</v>
      </c>
      <c r="W12">
        <v>4146.9923391004822</v>
      </c>
      <c r="X12">
        <f t="shared" si="5"/>
        <v>658.99542962711655</v>
      </c>
      <c r="Y12">
        <v>663.13767875598774</v>
      </c>
      <c r="Z12">
        <v>663.13767875598774</v>
      </c>
      <c r="AA12" s="4">
        <v>4269.4880439612507</v>
      </c>
      <c r="AB12" s="4">
        <v>4269.4880439612507</v>
      </c>
      <c r="AC12" s="4">
        <v>4183.3888109299769</v>
      </c>
      <c r="AD12">
        <v>4150</v>
      </c>
    </row>
    <row r="13" spans="1:30" x14ac:dyDescent="0.35">
      <c r="A13">
        <v>2019</v>
      </c>
      <c r="B13" s="4">
        <v>460</v>
      </c>
      <c r="C13" s="4">
        <f t="shared" si="6"/>
        <v>44.494589140142061</v>
      </c>
      <c r="D13" s="4">
        <v>49</v>
      </c>
      <c r="E13" s="4">
        <v>91.2</v>
      </c>
      <c r="F13" s="4">
        <v>22.384475906584338</v>
      </c>
      <c r="G13" s="4">
        <v>17</v>
      </c>
      <c r="H13" s="4">
        <f t="shared" si="0"/>
        <v>667.07906504672656</v>
      </c>
      <c r="I13" s="4">
        <f t="shared" si="2"/>
        <v>676.03192901509601</v>
      </c>
      <c r="J13" s="4">
        <f t="shared" si="3"/>
        <v>8.9528639683694564</v>
      </c>
      <c r="K13" s="4">
        <v>132</v>
      </c>
      <c r="L13" s="4">
        <v>83</v>
      </c>
      <c r="M13" s="4"/>
      <c r="N13" s="2">
        <f t="shared" si="4"/>
        <v>715.76882321197797</v>
      </c>
      <c r="O13" s="4">
        <v>644</v>
      </c>
      <c r="P13" s="2">
        <v>6.5</v>
      </c>
      <c r="Q13">
        <f>Q12+50/6.2929</f>
        <v>85.945462346453937</v>
      </c>
      <c r="R13" s="2">
        <v>4776.4755225233394</v>
      </c>
      <c r="S13" s="2">
        <f t="shared" si="1"/>
        <v>696.08066591290799</v>
      </c>
      <c r="T13" s="2">
        <v>4900.3711275906562</v>
      </c>
      <c r="U13" s="3">
        <v>23</v>
      </c>
      <c r="V13">
        <v>4801.8175802283668</v>
      </c>
      <c r="W13">
        <v>4207.3855582707884</v>
      </c>
      <c r="X13">
        <f t="shared" si="5"/>
        <v>668.59247060509279</v>
      </c>
      <c r="Y13">
        <v>665.00419268177325</v>
      </c>
      <c r="Z13">
        <v>664.97623423918969</v>
      </c>
      <c r="AA13" s="4">
        <v>4250.5046419102082</v>
      </c>
      <c r="AB13" s="4">
        <v>4250.5046419102082</v>
      </c>
      <c r="AC13" s="4">
        <v>4257.7166921299759</v>
      </c>
      <c r="AD13">
        <v>4025</v>
      </c>
    </row>
    <row r="14" spans="1:30" x14ac:dyDescent="0.35">
      <c r="A14">
        <v>2020</v>
      </c>
      <c r="B14" s="4">
        <v>460</v>
      </c>
      <c r="C14" s="4">
        <f>310/6.2929</f>
        <v>49.261866548014424</v>
      </c>
      <c r="D14" s="4">
        <v>53</v>
      </c>
      <c r="E14" s="4">
        <v>95</v>
      </c>
      <c r="F14" s="4">
        <v>22.384475906584338</v>
      </c>
      <c r="G14" s="4">
        <v>18</v>
      </c>
      <c r="H14" s="4">
        <f t="shared" si="0"/>
        <v>679.64634245459888</v>
      </c>
      <c r="I14" s="4">
        <f t="shared" si="2"/>
        <v>679.61544568582349</v>
      </c>
      <c r="J14" s="4">
        <f t="shared" si="3"/>
        <v>-3.0896768775392047E-2</v>
      </c>
      <c r="K14" s="4">
        <v>132</v>
      </c>
      <c r="L14" s="4">
        <v>83</v>
      </c>
      <c r="M14" s="4"/>
      <c r="N14" s="2">
        <f t="shared" si="4"/>
        <v>754.76525089686152</v>
      </c>
      <c r="O14" s="4">
        <v>645</v>
      </c>
      <c r="P14" s="2">
        <v>6.5</v>
      </c>
      <c r="Q14">
        <f>95</f>
        <v>95</v>
      </c>
      <c r="R14" s="2">
        <v>4943.5522133551658</v>
      </c>
      <c r="S14" s="2">
        <f t="shared" si="1"/>
        <v>713.57615937885009</v>
      </c>
      <c r="T14" s="2">
        <v>5202.7510473688599</v>
      </c>
      <c r="U14" s="3">
        <v>23</v>
      </c>
      <c r="V14">
        <v>5003.5314770948116</v>
      </c>
      <c r="W14">
        <v>4399.7021550632135</v>
      </c>
      <c r="X14">
        <f t="shared" si="5"/>
        <v>699.15335617334028</v>
      </c>
      <c r="Y14">
        <v>578.78969208880767</v>
      </c>
      <c r="Z14">
        <v>580.1484403110029</v>
      </c>
      <c r="AA14" s="4">
        <v>3975.136903936027</v>
      </c>
      <c r="AB14" s="4">
        <v>3975.136903936027</v>
      </c>
      <c r="AC14" s="4">
        <v>4280.2860384738851</v>
      </c>
      <c r="AD14">
        <v>3900</v>
      </c>
    </row>
    <row r="15" spans="1:30" x14ac:dyDescent="0.35">
      <c r="A15">
        <v>2021</v>
      </c>
      <c r="B15" s="4">
        <v>512</v>
      </c>
      <c r="C15" s="4">
        <f t="shared" ref="C15:C44" si="7">310/6.2929</f>
        <v>49.261866548014424</v>
      </c>
      <c r="D15" s="4">
        <v>33.299999999999997</v>
      </c>
      <c r="E15" s="4">
        <v>99.7</v>
      </c>
      <c r="F15" s="4">
        <v>22.384475906584338</v>
      </c>
      <c r="G15" s="4">
        <v>15</v>
      </c>
      <c r="H15" s="4">
        <f t="shared" si="0"/>
        <v>716.64634245459877</v>
      </c>
      <c r="I15" s="4">
        <f t="shared" si="2"/>
        <v>699.2057501621515</v>
      </c>
      <c r="J15" s="4">
        <f t="shared" si="3"/>
        <v>-17.440592292447263</v>
      </c>
      <c r="K15" s="4">
        <v>132</v>
      </c>
      <c r="L15" s="4">
        <v>83</v>
      </c>
      <c r="M15" s="4">
        <v>87</v>
      </c>
      <c r="N15" s="2">
        <f t="shared" si="4"/>
        <v>799.68896137476213</v>
      </c>
      <c r="O15" s="4">
        <v>646</v>
      </c>
      <c r="P15" s="2">
        <v>6.5</v>
      </c>
      <c r="Q15">
        <f t="shared" ref="Q15:Q44" si="8">Q14</f>
        <v>95</v>
      </c>
      <c r="R15" s="2">
        <v>5016.895015479191</v>
      </c>
      <c r="S15" s="2">
        <f t="shared" si="1"/>
        <v>725.23100883204734</v>
      </c>
      <c r="T15" s="2">
        <v>5485.4514650352412</v>
      </c>
      <c r="U15" s="3">
        <v>23</v>
      </c>
      <c r="V15">
        <v>5093.3401429754695</v>
      </c>
      <c r="W15">
        <v>4599.5395244935235</v>
      </c>
      <c r="X15">
        <f t="shared" si="5"/>
        <v>730.90936205779894</v>
      </c>
      <c r="Y15">
        <v>658.34190836490711</v>
      </c>
      <c r="Z15">
        <v>642.46025442747634</v>
      </c>
      <c r="AA15" s="4">
        <v>4251.414345121595</v>
      </c>
      <c r="AB15" s="4">
        <v>4214.7131578555645</v>
      </c>
      <c r="AC15" s="4">
        <v>4403.6677350962464</v>
      </c>
      <c r="AD15">
        <v>4150</v>
      </c>
    </row>
    <row r="16" spans="1:30" x14ac:dyDescent="0.35">
      <c r="A16">
        <v>2022</v>
      </c>
      <c r="B16" s="4">
        <v>512</v>
      </c>
      <c r="C16" s="4">
        <f t="shared" si="7"/>
        <v>49.261866548014424</v>
      </c>
      <c r="D16" s="4">
        <v>55</v>
      </c>
      <c r="E16" s="4">
        <v>98.9</v>
      </c>
      <c r="F16" s="4">
        <v>22.384475906584338</v>
      </c>
      <c r="G16" s="4">
        <v>17</v>
      </c>
      <c r="H16" s="4">
        <f t="shared" si="0"/>
        <v>737.54634245459874</v>
      </c>
      <c r="I16" s="4">
        <f t="shared" si="2"/>
        <v>751.37918010716999</v>
      </c>
      <c r="J16" s="4">
        <f t="shared" si="3"/>
        <v>13.832837652571243</v>
      </c>
      <c r="K16" s="4">
        <v>132</v>
      </c>
      <c r="L16" s="4">
        <v>83</v>
      </c>
      <c r="M16" s="4">
        <v>175</v>
      </c>
      <c r="N16" s="2">
        <f t="shared" si="4"/>
        <v>834.89043464490317</v>
      </c>
      <c r="O16" s="4">
        <v>649</v>
      </c>
      <c r="P16" s="2">
        <v>6.5</v>
      </c>
      <c r="Q16">
        <f t="shared" si="8"/>
        <v>95</v>
      </c>
      <c r="R16" s="2">
        <v>5094.1414341675409</v>
      </c>
      <c r="S16" s="2">
        <f t="shared" si="1"/>
        <v>737.50617905378135</v>
      </c>
      <c r="T16" s="2">
        <v>5706.9708161769113</v>
      </c>
      <c r="U16" s="3">
        <v>23</v>
      </c>
      <c r="V16">
        <v>5226.2318734160181</v>
      </c>
      <c r="W16">
        <v>4673.9682744781539</v>
      </c>
      <c r="X16">
        <f t="shared" si="5"/>
        <v>742.73677866772925</v>
      </c>
      <c r="Y16">
        <v>700.41371764839778</v>
      </c>
      <c r="Z16">
        <v>685.55335568967473</v>
      </c>
      <c r="AA16" s="4">
        <v>4483.1248448126426</v>
      </c>
      <c r="AB16" s="4">
        <v>4451.4105228813305</v>
      </c>
      <c r="AC16" s="4">
        <v>4732.2612142329672</v>
      </c>
      <c r="AD16">
        <v>4400</v>
      </c>
    </row>
    <row r="17" spans="1:30" x14ac:dyDescent="0.35">
      <c r="A17">
        <v>2023</v>
      </c>
      <c r="B17" s="4">
        <v>512</v>
      </c>
      <c r="C17" s="4">
        <f t="shared" si="7"/>
        <v>49.261866548014424</v>
      </c>
      <c r="D17" s="4">
        <v>51</v>
      </c>
      <c r="E17" s="4">
        <v>98.9</v>
      </c>
      <c r="F17" s="4">
        <v>22.384475906584338</v>
      </c>
      <c r="G17" s="4">
        <v>23</v>
      </c>
      <c r="H17" s="4">
        <f>SUM(B17:G17)-G17</f>
        <v>733.54634245459874</v>
      </c>
      <c r="I17" s="4">
        <f t="shared" si="2"/>
        <v>829.77583941712066</v>
      </c>
      <c r="J17" s="4">
        <f t="shared" si="3"/>
        <v>96.229496962521921</v>
      </c>
      <c r="K17" s="4">
        <v>132</v>
      </c>
      <c r="L17" s="4">
        <v>83</v>
      </c>
      <c r="M17" s="4">
        <v>175</v>
      </c>
      <c r="N17" s="2">
        <f t="shared" si="4"/>
        <v>868.2961104671341</v>
      </c>
      <c r="O17" s="4">
        <v>654</v>
      </c>
      <c r="P17" s="2">
        <v>6.5</v>
      </c>
      <c r="Q17">
        <f t="shared" si="8"/>
        <v>95</v>
      </c>
      <c r="R17" s="2">
        <v>5164.2717536350629</v>
      </c>
      <c r="S17" s="2">
        <f t="shared" si="1"/>
        <v>748.65053530726095</v>
      </c>
      <c r="T17" s="2">
        <v>5917.1893935586286</v>
      </c>
      <c r="U17" s="3">
        <v>23</v>
      </c>
      <c r="V17">
        <v>5297.1994191760305</v>
      </c>
      <c r="W17">
        <v>4762.5458787217331</v>
      </c>
      <c r="X17">
        <f t="shared" si="5"/>
        <v>756.81257905285838</v>
      </c>
      <c r="Y17">
        <v>717.12146917612813</v>
      </c>
      <c r="Z17">
        <v>693.92845990907188</v>
      </c>
      <c r="AA17" s="4">
        <v>4646.70041487449</v>
      </c>
      <c r="AB17" s="4">
        <v>4629.0313503467387</v>
      </c>
      <c r="AC17" s="4">
        <v>5226.0112142329672</v>
      </c>
      <c r="AD17">
        <v>4625</v>
      </c>
    </row>
    <row r="18" spans="1:30" x14ac:dyDescent="0.35">
      <c r="A18">
        <v>2024</v>
      </c>
      <c r="B18" s="4">
        <v>512</v>
      </c>
      <c r="C18" s="4">
        <f t="shared" si="7"/>
        <v>49.261866548014424</v>
      </c>
      <c r="D18" s="4">
        <v>143</v>
      </c>
      <c r="E18" s="4">
        <v>98.9</v>
      </c>
      <c r="F18" s="4">
        <v>22.384475906584338</v>
      </c>
      <c r="G18" s="4">
        <v>33</v>
      </c>
      <c r="H18" s="4">
        <f t="shared" ref="H18:H44" si="9">SUM(B18:G18)-G18</f>
        <v>825.54634245459874</v>
      </c>
      <c r="I18" s="4">
        <f t="shared" si="2"/>
        <v>835.46538599995245</v>
      </c>
      <c r="J18" s="4">
        <f t="shared" si="3"/>
        <v>9.919043545353702</v>
      </c>
      <c r="K18" s="4">
        <v>132</v>
      </c>
      <c r="L18" s="4">
        <v>83</v>
      </c>
      <c r="M18" s="4">
        <v>175</v>
      </c>
      <c r="N18" s="2">
        <f t="shared" si="4"/>
        <v>911.1943565578913</v>
      </c>
      <c r="O18" s="4">
        <v>665</v>
      </c>
      <c r="P18" s="2">
        <v>6.5</v>
      </c>
      <c r="Q18">
        <f t="shared" si="8"/>
        <v>95</v>
      </c>
      <c r="R18" s="2">
        <v>5199.7326573942173</v>
      </c>
      <c r="S18" s="2">
        <f t="shared" si="1"/>
        <v>754.28560081905277</v>
      </c>
      <c r="T18" s="2">
        <v>6187.1437663831548</v>
      </c>
      <c r="U18" s="3">
        <v>23</v>
      </c>
      <c r="V18">
        <v>5383.5317546436618</v>
      </c>
      <c r="W18">
        <v>4923.9182074023784</v>
      </c>
      <c r="X18">
        <f t="shared" si="5"/>
        <v>782.45613427869159</v>
      </c>
      <c r="Y18">
        <v>735.98657110867941</v>
      </c>
      <c r="Z18">
        <v>702.504706114123</v>
      </c>
      <c r="AA18" s="4">
        <v>4914.7502186528063</v>
      </c>
      <c r="AB18" s="4">
        <v>4928.1538566470563</v>
      </c>
      <c r="AC18" s="4">
        <v>5261.8445475663002</v>
      </c>
      <c r="AD18">
        <v>4850</v>
      </c>
    </row>
    <row r="19" spans="1:30" x14ac:dyDescent="0.35">
      <c r="A19">
        <v>2025</v>
      </c>
      <c r="B19" s="4">
        <v>512</v>
      </c>
      <c r="C19" s="4">
        <f t="shared" si="7"/>
        <v>49.261866548014424</v>
      </c>
      <c r="D19" s="4">
        <v>142</v>
      </c>
      <c r="E19" s="4">
        <v>101.6</v>
      </c>
      <c r="F19" s="4">
        <v>22.384475906584338</v>
      </c>
      <c r="G19" s="4">
        <v>43</v>
      </c>
      <c r="H19" s="4">
        <f t="shared" si="9"/>
        <v>827.24634245459879</v>
      </c>
      <c r="I19" s="4">
        <f t="shared" si="2"/>
        <v>835.46538599995245</v>
      </c>
      <c r="J19" s="4">
        <f t="shared" si="3"/>
        <v>8.2190435453536566</v>
      </c>
      <c r="K19" s="4">
        <v>132</v>
      </c>
      <c r="L19" s="4">
        <v>83</v>
      </c>
      <c r="M19" s="4">
        <v>175</v>
      </c>
      <c r="N19" s="2">
        <f t="shared" si="4"/>
        <v>946.24914395579538</v>
      </c>
      <c r="O19" s="4">
        <v>674</v>
      </c>
      <c r="P19" s="2">
        <v>6.5</v>
      </c>
      <c r="Q19">
        <f t="shared" si="8"/>
        <v>95</v>
      </c>
      <c r="R19" s="2">
        <v>5251.6139381652611</v>
      </c>
      <c r="S19" s="2">
        <f t="shared" si="1"/>
        <v>762.53001607609542</v>
      </c>
      <c r="T19" s="2">
        <v>6407.7400379994251</v>
      </c>
      <c r="U19" s="3">
        <v>23</v>
      </c>
      <c r="V19">
        <v>5471.678620460887</v>
      </c>
      <c r="W19">
        <v>5116.7624154781124</v>
      </c>
      <c r="X19">
        <f t="shared" si="5"/>
        <v>813.10086215864101</v>
      </c>
      <c r="Y19">
        <v>759.13165011249907</v>
      </c>
      <c r="Z19">
        <v>713.88308616898564</v>
      </c>
      <c r="AA19" s="4">
        <v>4975.0394104797251</v>
      </c>
      <c r="AB19" s="4">
        <v>5012.9632451138314</v>
      </c>
      <c r="AC19" s="4">
        <v>5261.8445475663002</v>
      </c>
      <c r="AD19">
        <v>5050</v>
      </c>
    </row>
    <row r="20" spans="1:30" x14ac:dyDescent="0.35">
      <c r="A20">
        <v>2026</v>
      </c>
      <c r="B20" s="4">
        <v>512</v>
      </c>
      <c r="C20" s="4">
        <f t="shared" si="7"/>
        <v>49.261866548014424</v>
      </c>
      <c r="D20" s="4">
        <v>142</v>
      </c>
      <c r="E20" s="4">
        <v>103.51282834375692</v>
      </c>
      <c r="F20" s="4">
        <v>22.384475906584338</v>
      </c>
      <c r="G20" s="4">
        <v>64</v>
      </c>
      <c r="H20" s="4">
        <f t="shared" si="9"/>
        <v>829.15917079835572</v>
      </c>
      <c r="I20" s="4">
        <f t="shared" si="2"/>
        <v>835.46538599995245</v>
      </c>
      <c r="J20" s="4">
        <f t="shared" si="3"/>
        <v>6.3062152015967285</v>
      </c>
      <c r="K20" s="4">
        <v>132</v>
      </c>
      <c r="L20" s="4">
        <v>83</v>
      </c>
      <c r="M20" s="4">
        <v>175</v>
      </c>
      <c r="N20" s="2">
        <f t="shared" si="4"/>
        <v>986.611785412475</v>
      </c>
      <c r="O20" s="4">
        <v>695</v>
      </c>
      <c r="P20" s="2">
        <v>6.5</v>
      </c>
      <c r="Q20">
        <f t="shared" si="8"/>
        <v>95</v>
      </c>
      <c r="R20" s="2">
        <v>5322.2346878772423</v>
      </c>
      <c r="S20" s="2">
        <f t="shared" si="1"/>
        <v>773.75230623039329</v>
      </c>
      <c r="T20" s="2">
        <v>6661.7381044221647</v>
      </c>
      <c r="U20" s="3">
        <v>23</v>
      </c>
      <c r="V20">
        <v>5581.200208550219</v>
      </c>
      <c r="W20">
        <v>5273.0193442672798</v>
      </c>
      <c r="X20">
        <f t="shared" si="5"/>
        <v>837.93153303997826</v>
      </c>
      <c r="Y20">
        <v>780.09805379163186</v>
      </c>
      <c r="Z20">
        <v>719.96335951971264</v>
      </c>
      <c r="AA20" s="4">
        <v>4992.4162792017678</v>
      </c>
      <c r="AB20" s="4">
        <v>5072.5549396156275</v>
      </c>
      <c r="AC20" s="4">
        <v>5261.8445475663002</v>
      </c>
      <c r="AD20">
        <v>5050</v>
      </c>
    </row>
    <row r="21" spans="1:30" s="38" customFormat="1" x14ac:dyDescent="0.35">
      <c r="A21" s="38">
        <v>2027</v>
      </c>
      <c r="B21" s="39">
        <v>512</v>
      </c>
      <c r="C21" s="39">
        <f t="shared" si="7"/>
        <v>49.261866548014424</v>
      </c>
      <c r="D21" s="39">
        <v>142</v>
      </c>
      <c r="E21" s="39">
        <v>103.51282834375692</v>
      </c>
      <c r="F21" s="39">
        <v>22.384475906584338</v>
      </c>
      <c r="G21" s="39">
        <v>80</v>
      </c>
      <c r="H21" s="39">
        <f t="shared" si="9"/>
        <v>829.15917079835572</v>
      </c>
      <c r="I21" s="39">
        <f t="shared" si="2"/>
        <v>835.46538599995245</v>
      </c>
      <c r="J21" s="39">
        <f t="shared" si="3"/>
        <v>6.3062152015967285</v>
      </c>
      <c r="K21" s="4">
        <v>132</v>
      </c>
      <c r="L21" s="4">
        <v>83</v>
      </c>
      <c r="M21" s="4">
        <v>175</v>
      </c>
      <c r="N21" s="40">
        <f t="shared" si="4"/>
        <v>1017.1727517891582</v>
      </c>
      <c r="O21" s="39">
        <v>712</v>
      </c>
      <c r="P21" s="40">
        <v>6.5</v>
      </c>
      <c r="Q21" s="38">
        <f t="shared" si="8"/>
        <v>95</v>
      </c>
      <c r="R21" s="40">
        <v>5375.2680708179605</v>
      </c>
      <c r="S21" s="40">
        <f t="shared" si="1"/>
        <v>782.17980117560433</v>
      </c>
      <c r="T21" s="40">
        <v>6854.0552097339933</v>
      </c>
      <c r="U21" s="41">
        <v>23</v>
      </c>
      <c r="V21" s="38">
        <v>5665.8024414459314</v>
      </c>
      <c r="W21" s="38">
        <v>5383.1211260962673</v>
      </c>
      <c r="X21" s="38">
        <f t="shared" si="5"/>
        <v>855.42772427597242</v>
      </c>
      <c r="Y21" s="38">
        <v>806.75425743327025</v>
      </c>
      <c r="Z21" s="38">
        <v>731.45865087553307</v>
      </c>
      <c r="AA21" s="39">
        <v>5062.217434900831</v>
      </c>
      <c r="AB21" s="39">
        <v>5186.2466343978922</v>
      </c>
      <c r="AC21" s="39">
        <v>5261.8445475663002</v>
      </c>
      <c r="AD21">
        <v>5050</v>
      </c>
    </row>
    <row r="22" spans="1:30" x14ac:dyDescent="0.35">
      <c r="A22">
        <v>2028</v>
      </c>
      <c r="B22" s="4">
        <v>512</v>
      </c>
      <c r="C22" s="4">
        <f t="shared" si="7"/>
        <v>49.261866548014424</v>
      </c>
      <c r="D22" s="4">
        <v>142</v>
      </c>
      <c r="E22" s="4">
        <v>103.51282834375692</v>
      </c>
      <c r="F22" s="4">
        <v>22.384475906584338</v>
      </c>
      <c r="G22" s="4">
        <v>94</v>
      </c>
      <c r="H22" s="4">
        <f t="shared" si="9"/>
        <v>829.15917079835572</v>
      </c>
      <c r="I22" s="4">
        <f t="shared" si="2"/>
        <v>835.46538599995245</v>
      </c>
      <c r="J22" s="4">
        <f t="shared" si="3"/>
        <v>6.3062152015967285</v>
      </c>
      <c r="K22" s="4">
        <v>131.89467495113539</v>
      </c>
      <c r="L22" s="4">
        <v>83.427354637766371</v>
      </c>
      <c r="M22" s="4">
        <v>174.80017162198666</v>
      </c>
      <c r="N22" s="2">
        <f t="shared" si="4"/>
        <v>1049.6440275941554</v>
      </c>
      <c r="O22" s="4">
        <v>725</v>
      </c>
      <c r="P22" s="2">
        <v>6.5</v>
      </c>
      <c r="Q22">
        <f t="shared" si="8"/>
        <v>95</v>
      </c>
      <c r="R22" s="2">
        <v>5433.9915931142586</v>
      </c>
      <c r="S22" s="2">
        <f t="shared" si="1"/>
        <v>791.51151188073197</v>
      </c>
      <c r="T22" s="2">
        <v>7058.3937012472616</v>
      </c>
      <c r="U22" s="3">
        <v>23</v>
      </c>
      <c r="V22">
        <v>5752.9743841387444</v>
      </c>
      <c r="W22">
        <v>5414.0936785935601</v>
      </c>
      <c r="X22">
        <f t="shared" si="5"/>
        <v>860.34954926878856</v>
      </c>
      <c r="Y22">
        <v>825.15606925499924</v>
      </c>
      <c r="Z22">
        <v>740.62329181414623</v>
      </c>
      <c r="AA22" s="4">
        <v>5052.8458863831238</v>
      </c>
      <c r="AB22" s="4">
        <v>5254.2922845538669</v>
      </c>
      <c r="AC22" s="4">
        <v>5261.8445475663002</v>
      </c>
      <c r="AD22">
        <v>5050</v>
      </c>
    </row>
    <row r="23" spans="1:30" x14ac:dyDescent="0.35">
      <c r="A23">
        <v>2029</v>
      </c>
      <c r="B23" s="4">
        <v>512</v>
      </c>
      <c r="C23" s="4">
        <f t="shared" si="7"/>
        <v>49.261866548014424</v>
      </c>
      <c r="D23" s="4">
        <v>142</v>
      </c>
      <c r="E23" s="4">
        <v>103.51282834375692</v>
      </c>
      <c r="F23" s="4">
        <v>22.384475906584338</v>
      </c>
      <c r="G23" s="4">
        <v>106</v>
      </c>
      <c r="H23" s="4">
        <f t="shared" si="9"/>
        <v>829.15917079835572</v>
      </c>
      <c r="I23" s="4">
        <f t="shared" si="2"/>
        <v>835.46538599995245</v>
      </c>
      <c r="J23" s="4">
        <f t="shared" si="3"/>
        <v>6.3062152015967285</v>
      </c>
      <c r="K23" s="4">
        <v>131.89467495113539</v>
      </c>
      <c r="L23" s="4">
        <v>83.427354637766371</v>
      </c>
      <c r="M23" s="4">
        <v>174.80017162198666</v>
      </c>
      <c r="N23" s="2">
        <f t="shared" si="4"/>
        <v>1077.5188156411691</v>
      </c>
      <c r="O23" s="4">
        <v>737</v>
      </c>
      <c r="P23" s="2">
        <v>6.5</v>
      </c>
      <c r="Q23">
        <f t="shared" si="8"/>
        <v>95</v>
      </c>
      <c r="R23" s="2">
        <v>5564.8382711912509</v>
      </c>
      <c r="S23" s="2">
        <f t="shared" si="1"/>
        <v>812.30425895711846</v>
      </c>
      <c r="T23" s="2">
        <v>7233.8069549483134</v>
      </c>
      <c r="U23" s="3">
        <v>23</v>
      </c>
      <c r="V23">
        <v>5782.6969819526639</v>
      </c>
      <c r="W23">
        <v>5497.8603149166056</v>
      </c>
      <c r="X23">
        <f t="shared" si="5"/>
        <v>873.66084236466577</v>
      </c>
      <c r="Y23">
        <v>840.97652936520899</v>
      </c>
      <c r="Z23">
        <v>748.37601790693418</v>
      </c>
      <c r="AA23" s="4">
        <v>5059.9320005654508</v>
      </c>
      <c r="AB23" s="4">
        <v>5339.9486159984081</v>
      </c>
      <c r="AC23" s="4">
        <v>5261.8445475663002</v>
      </c>
      <c r="AD23">
        <v>5042</v>
      </c>
    </row>
    <row r="24" spans="1:30" x14ac:dyDescent="0.35">
      <c r="A24">
        <v>2030</v>
      </c>
      <c r="B24" s="4">
        <v>512</v>
      </c>
      <c r="C24" s="4">
        <f t="shared" si="7"/>
        <v>49.261866548014424</v>
      </c>
      <c r="D24" s="4">
        <v>142</v>
      </c>
      <c r="E24" s="4">
        <v>103.51282834375692</v>
      </c>
      <c r="F24" s="4">
        <v>22.384475906584338</v>
      </c>
      <c r="G24" s="4">
        <v>119</v>
      </c>
      <c r="H24" s="4">
        <f t="shared" si="9"/>
        <v>829.15917079835572</v>
      </c>
      <c r="I24" s="4">
        <f t="shared" si="2"/>
        <v>835.46538599995245</v>
      </c>
      <c r="J24" s="4">
        <f t="shared" si="3"/>
        <v>6.3062152015967285</v>
      </c>
      <c r="K24" s="4">
        <v>131.89467495113539</v>
      </c>
      <c r="L24" s="4">
        <v>83.427354637766371</v>
      </c>
      <c r="M24" s="4">
        <v>174.80017162198666</v>
      </c>
      <c r="N24" s="2">
        <f t="shared" si="4"/>
        <v>1112.7314145312898</v>
      </c>
      <c r="O24" s="4">
        <v>750</v>
      </c>
      <c r="P24" s="2">
        <v>6.5</v>
      </c>
      <c r="Q24">
        <f t="shared" si="8"/>
        <v>95</v>
      </c>
      <c r="R24" s="2">
        <v>5688.3822825188709</v>
      </c>
      <c r="S24" s="2">
        <f t="shared" si="1"/>
        <v>831.93654475978815</v>
      </c>
      <c r="T24" s="2">
        <v>7455.3963185039547</v>
      </c>
      <c r="U24" s="3">
        <v>23</v>
      </c>
      <c r="V24">
        <v>5866.7319036296303</v>
      </c>
      <c r="W24">
        <v>5614.8825724355775</v>
      </c>
      <c r="X24">
        <f t="shared" si="5"/>
        <v>892.25676118094634</v>
      </c>
      <c r="Y24">
        <v>853.91553913634368</v>
      </c>
      <c r="Z24">
        <v>754.07162434928046</v>
      </c>
      <c r="AA24" s="4">
        <v>5028.7605167147103</v>
      </c>
      <c r="AB24" s="4">
        <v>5293.201741429767</v>
      </c>
      <c r="AC24" s="4">
        <v>5261.8445475663002</v>
      </c>
      <c r="AD24">
        <v>5033</v>
      </c>
    </row>
    <row r="25" spans="1:30" x14ac:dyDescent="0.35">
      <c r="A25">
        <v>2031</v>
      </c>
      <c r="B25" s="4">
        <v>512</v>
      </c>
      <c r="C25" s="4">
        <f t="shared" si="7"/>
        <v>49.261866548014424</v>
      </c>
      <c r="D25" s="4">
        <v>142</v>
      </c>
      <c r="E25" s="4">
        <v>103.51282834375692</v>
      </c>
      <c r="F25" s="4">
        <v>22.384475906584338</v>
      </c>
      <c r="G25" s="4">
        <v>130</v>
      </c>
      <c r="H25" s="4">
        <f t="shared" si="9"/>
        <v>829.15917079835572</v>
      </c>
      <c r="I25" s="4">
        <f t="shared" si="2"/>
        <v>835.46538599995245</v>
      </c>
      <c r="J25" s="4">
        <f t="shared" si="3"/>
        <v>6.3062152015967285</v>
      </c>
      <c r="K25" s="4">
        <v>131.89467495113539</v>
      </c>
      <c r="L25" s="4">
        <v>83.427354637766371</v>
      </c>
      <c r="M25" s="4">
        <v>174.80017162198666</v>
      </c>
      <c r="O25" s="4">
        <v>762</v>
      </c>
      <c r="P25" s="2">
        <v>6.5</v>
      </c>
      <c r="Q25">
        <f t="shared" si="8"/>
        <v>95</v>
      </c>
      <c r="R25">
        <v>5807.7551691465696</v>
      </c>
      <c r="S25" s="2">
        <f t="shared" si="1"/>
        <v>850.90600027754601</v>
      </c>
      <c r="U25" s="3">
        <v>23</v>
      </c>
      <c r="V25">
        <v>5949.4697874442982</v>
      </c>
      <c r="W25">
        <v>5741.2154942469524</v>
      </c>
      <c r="X25">
        <f t="shared" si="5"/>
        <v>912.33223064834215</v>
      </c>
      <c r="Y25">
        <v>868.03837490385808</v>
      </c>
      <c r="Z25">
        <v>760.15432236668187</v>
      </c>
      <c r="AA25" s="4">
        <v>4989.5713093032864</v>
      </c>
      <c r="AB25" s="4">
        <v>5419.3602705797275</v>
      </c>
      <c r="AC25" s="4">
        <v>5261.8445475663002</v>
      </c>
      <c r="AD25">
        <v>5025</v>
      </c>
    </row>
    <row r="26" spans="1:30" x14ac:dyDescent="0.35">
      <c r="A26">
        <v>2032</v>
      </c>
      <c r="B26" s="4">
        <v>512</v>
      </c>
      <c r="C26" s="4">
        <f t="shared" si="7"/>
        <v>49.261866548014424</v>
      </c>
      <c r="D26" s="4">
        <v>142</v>
      </c>
      <c r="E26" s="4">
        <v>103.51282834375692</v>
      </c>
      <c r="F26" s="4">
        <v>22.384475906584338</v>
      </c>
      <c r="G26" s="4">
        <v>139</v>
      </c>
      <c r="H26" s="4">
        <f t="shared" si="9"/>
        <v>829.15917079835572</v>
      </c>
      <c r="I26" s="4">
        <f t="shared" si="2"/>
        <v>835.46538599995245</v>
      </c>
      <c r="J26" s="4">
        <f t="shared" si="3"/>
        <v>6.3062152015967285</v>
      </c>
      <c r="K26" s="4">
        <v>131.89467495113539</v>
      </c>
      <c r="L26" s="4">
        <v>83.427354637766371</v>
      </c>
      <c r="M26" s="4">
        <v>174.80017162198666</v>
      </c>
      <c r="O26" s="4">
        <v>770</v>
      </c>
      <c r="P26" s="2">
        <v>6.5</v>
      </c>
      <c r="Q26">
        <f t="shared" si="8"/>
        <v>95</v>
      </c>
      <c r="R26">
        <v>5892.2313442742707</v>
      </c>
      <c r="S26" s="2">
        <f t="shared" si="1"/>
        <v>864.33004565053795</v>
      </c>
      <c r="U26" s="3">
        <v>23</v>
      </c>
      <c r="V26">
        <v>6023.06040124012</v>
      </c>
      <c r="W26">
        <v>5802.2368705054132</v>
      </c>
      <c r="X26">
        <f t="shared" si="5"/>
        <v>922.02909159615012</v>
      </c>
      <c r="Y26">
        <v>874.21243199352443</v>
      </c>
      <c r="Z26">
        <v>760.92372525285293</v>
      </c>
      <c r="AA26" s="4">
        <v>4947.9289512514779</v>
      </c>
      <c r="AB26" s="4">
        <v>5515.1098351310939</v>
      </c>
      <c r="AC26" s="4">
        <v>5261.8445475663002</v>
      </c>
      <c r="AD26">
        <v>5017</v>
      </c>
    </row>
    <row r="27" spans="1:30" x14ac:dyDescent="0.35">
      <c r="A27">
        <v>2033</v>
      </c>
      <c r="B27" s="4">
        <v>512</v>
      </c>
      <c r="C27" s="4">
        <f t="shared" si="7"/>
        <v>49.261866548014424</v>
      </c>
      <c r="D27" s="4">
        <v>142</v>
      </c>
      <c r="E27" s="4">
        <v>103.51282834375692</v>
      </c>
      <c r="F27" s="4">
        <v>22.384475906584338</v>
      </c>
      <c r="G27" s="4">
        <v>147</v>
      </c>
      <c r="H27" s="4">
        <f t="shared" si="9"/>
        <v>829.15917079835572</v>
      </c>
      <c r="I27" s="4">
        <f t="shared" si="2"/>
        <v>835.46538599995245</v>
      </c>
      <c r="J27" s="4">
        <f t="shared" si="3"/>
        <v>6.3062152015967285</v>
      </c>
      <c r="K27" s="4">
        <v>131.89467495113539</v>
      </c>
      <c r="L27" s="4">
        <v>83.427354637766371</v>
      </c>
      <c r="M27" s="4">
        <v>174.80017162198666</v>
      </c>
      <c r="O27" s="4">
        <v>778</v>
      </c>
      <c r="P27" s="2">
        <v>6.5</v>
      </c>
      <c r="Q27">
        <f t="shared" si="8"/>
        <v>95</v>
      </c>
      <c r="R27">
        <v>6000.8920473654352</v>
      </c>
      <c r="S27" s="2">
        <f t="shared" si="1"/>
        <v>881.59723614953919</v>
      </c>
      <c r="U27" s="3">
        <v>23</v>
      </c>
      <c r="V27">
        <v>6139.251661133625</v>
      </c>
      <c r="W27">
        <v>5934.2647217112217</v>
      </c>
      <c r="X27">
        <f t="shared" si="5"/>
        <v>943.0095380049296</v>
      </c>
      <c r="Y27">
        <v>895.96606071221072</v>
      </c>
      <c r="Z27">
        <v>773.3543198841104</v>
      </c>
      <c r="AA27" s="4">
        <v>4984.7981959095932</v>
      </c>
      <c r="AB27" s="4">
        <v>5657.4376489519091</v>
      </c>
      <c r="AC27" s="4">
        <v>5261.8445475663002</v>
      </c>
      <c r="AD27">
        <v>5008</v>
      </c>
    </row>
    <row r="28" spans="1:30" x14ac:dyDescent="0.35">
      <c r="A28">
        <v>2034</v>
      </c>
      <c r="B28" s="4">
        <v>512</v>
      </c>
      <c r="C28" s="4">
        <f t="shared" si="7"/>
        <v>49.261866548014424</v>
      </c>
      <c r="D28" s="4">
        <v>142</v>
      </c>
      <c r="E28" s="4">
        <v>103.51282834375692</v>
      </c>
      <c r="F28" s="4">
        <v>22.384475906584338</v>
      </c>
      <c r="G28" s="4">
        <v>155</v>
      </c>
      <c r="H28" s="4">
        <f t="shared" si="9"/>
        <v>829.15917079835572</v>
      </c>
      <c r="I28" s="4">
        <f t="shared" si="2"/>
        <v>835.46538599995245</v>
      </c>
      <c r="J28" s="4">
        <f t="shared" si="3"/>
        <v>6.3062152015967285</v>
      </c>
      <c r="K28" s="4">
        <v>131.89467495113539</v>
      </c>
      <c r="L28" s="4">
        <v>83.427354637766371</v>
      </c>
      <c r="M28" s="4">
        <v>174.80017162198666</v>
      </c>
      <c r="O28" s="4">
        <v>787</v>
      </c>
      <c r="P28" s="2">
        <v>6.5</v>
      </c>
      <c r="Q28">
        <f t="shared" si="8"/>
        <v>95</v>
      </c>
      <c r="R28">
        <v>6092.925103025359</v>
      </c>
      <c r="S28" s="2">
        <f t="shared" si="1"/>
        <v>896.22213971703957</v>
      </c>
      <c r="U28" s="3">
        <v>23</v>
      </c>
      <c r="V28">
        <v>6254.0171404416105</v>
      </c>
      <c r="W28">
        <v>5994.6236424255194</v>
      </c>
      <c r="X28">
        <f t="shared" si="5"/>
        <v>952.60112864109055</v>
      </c>
      <c r="Y28">
        <v>911.82227865494519</v>
      </c>
      <c r="Z28">
        <v>782.81205390326363</v>
      </c>
      <c r="AA28" s="4">
        <v>4974.1780703372096</v>
      </c>
      <c r="AB28" s="4">
        <v>5728.7985086686349</v>
      </c>
      <c r="AC28" s="4">
        <v>5261.8445475663002</v>
      </c>
      <c r="AD28">
        <v>5000</v>
      </c>
    </row>
    <row r="29" spans="1:30" x14ac:dyDescent="0.35">
      <c r="A29">
        <v>2035</v>
      </c>
      <c r="B29" s="4">
        <v>512</v>
      </c>
      <c r="C29" s="4">
        <f t="shared" si="7"/>
        <v>49.261866548014424</v>
      </c>
      <c r="D29" s="4">
        <v>142</v>
      </c>
      <c r="E29" s="4">
        <v>103.51282834375692</v>
      </c>
      <c r="F29" s="4">
        <v>22.384475906584338</v>
      </c>
      <c r="G29" s="4">
        <v>163</v>
      </c>
      <c r="H29" s="4">
        <f t="shared" si="9"/>
        <v>829.15917079835572</v>
      </c>
      <c r="I29" s="4">
        <f t="shared" si="2"/>
        <v>835.46538599995245</v>
      </c>
      <c r="J29" s="4">
        <f t="shared" si="3"/>
        <v>6.3062152015967285</v>
      </c>
      <c r="K29" s="4">
        <v>131.89467495113539</v>
      </c>
      <c r="L29" s="4">
        <v>83.427354637766371</v>
      </c>
      <c r="M29" s="4">
        <v>174.80017162198666</v>
      </c>
      <c r="O29" s="4">
        <v>794</v>
      </c>
      <c r="P29" s="2">
        <v>6.5</v>
      </c>
      <c r="Q29">
        <f t="shared" si="8"/>
        <v>95</v>
      </c>
      <c r="R29">
        <v>6156.7118108231534</v>
      </c>
      <c r="S29" s="2">
        <f t="shared" si="1"/>
        <v>906.35843741727228</v>
      </c>
      <c r="U29" s="3">
        <v>23</v>
      </c>
      <c r="V29">
        <v>6335.6010422137506</v>
      </c>
      <c r="W29">
        <v>6001.8983040228695</v>
      </c>
      <c r="X29">
        <f t="shared" si="5"/>
        <v>953.75713963718943</v>
      </c>
      <c r="Y29">
        <v>916.56946586206118</v>
      </c>
      <c r="Z29">
        <v>783.35163911678001</v>
      </c>
      <c r="AA29" s="4">
        <v>4910.8319628524841</v>
      </c>
      <c r="AB29" s="4">
        <v>5755.2658175711258</v>
      </c>
      <c r="AC29" s="4">
        <v>5261.8445475663002</v>
      </c>
      <c r="AD29">
        <v>4950</v>
      </c>
    </row>
    <row r="30" spans="1:30" x14ac:dyDescent="0.35">
      <c r="A30">
        <v>2036</v>
      </c>
      <c r="B30" s="4">
        <v>512</v>
      </c>
      <c r="C30" s="4">
        <f t="shared" si="7"/>
        <v>49.261866548014424</v>
      </c>
      <c r="D30" s="4">
        <v>142</v>
      </c>
      <c r="E30" s="4">
        <v>103.51282834375692</v>
      </c>
      <c r="F30" s="4">
        <v>22.384475906584338</v>
      </c>
      <c r="G30" s="4">
        <v>168</v>
      </c>
      <c r="H30" s="4">
        <f t="shared" si="9"/>
        <v>829.15917079835572</v>
      </c>
      <c r="I30" s="4">
        <f t="shared" si="2"/>
        <v>835.46538599995245</v>
      </c>
      <c r="J30" s="4">
        <f t="shared" si="3"/>
        <v>6.3062152015967285</v>
      </c>
      <c r="K30" s="4">
        <v>131.89467495113539</v>
      </c>
      <c r="L30" s="4">
        <v>83.427354637766371</v>
      </c>
      <c r="M30" s="4">
        <v>174.80017162198666</v>
      </c>
      <c r="O30" s="4">
        <v>799</v>
      </c>
      <c r="P30" s="2">
        <v>6.5</v>
      </c>
      <c r="Q30">
        <f t="shared" si="8"/>
        <v>95</v>
      </c>
      <c r="U30" s="3">
        <v>23</v>
      </c>
      <c r="W30">
        <v>5996.0388031581751</v>
      </c>
      <c r="X30">
        <f t="shared" si="5"/>
        <v>952.82601076740048</v>
      </c>
      <c r="Y30">
        <v>916.3407085631568</v>
      </c>
      <c r="Z30">
        <v>774.9848209933624</v>
      </c>
      <c r="AA30" s="4">
        <v>4832.4942862143171</v>
      </c>
      <c r="AB30" s="4">
        <v>5750.3595599510581</v>
      </c>
      <c r="AC30" s="4">
        <v>5261.8445475663002</v>
      </c>
      <c r="AD30">
        <v>4900</v>
      </c>
    </row>
    <row r="31" spans="1:30" x14ac:dyDescent="0.35">
      <c r="A31">
        <v>2037</v>
      </c>
      <c r="B31" s="4">
        <v>512</v>
      </c>
      <c r="C31" s="4">
        <f t="shared" si="7"/>
        <v>49.261866548014424</v>
      </c>
      <c r="D31" s="4">
        <v>142</v>
      </c>
      <c r="E31" s="4">
        <v>103.51282834375692</v>
      </c>
      <c r="F31" s="4">
        <v>22.384475906584338</v>
      </c>
      <c r="G31" s="4">
        <v>172</v>
      </c>
      <c r="H31" s="4">
        <f t="shared" si="9"/>
        <v>829.15917079835572</v>
      </c>
      <c r="I31" s="4">
        <f t="shared" si="2"/>
        <v>835.46538599995245</v>
      </c>
      <c r="J31" s="4">
        <f t="shared" si="3"/>
        <v>6.3062152015967285</v>
      </c>
      <c r="K31" s="4">
        <v>131.89467495113539</v>
      </c>
      <c r="L31" s="4">
        <v>83.427354637766371</v>
      </c>
      <c r="M31" s="4">
        <v>174.80017162198666</v>
      </c>
      <c r="O31" s="4">
        <v>804</v>
      </c>
      <c r="P31" s="2">
        <v>6.5</v>
      </c>
      <c r="Q31">
        <f t="shared" si="8"/>
        <v>95</v>
      </c>
      <c r="U31" s="3">
        <v>23</v>
      </c>
      <c r="W31">
        <v>6056.22716156768</v>
      </c>
      <c r="X31">
        <f t="shared" si="5"/>
        <v>962.3904974761524</v>
      </c>
      <c r="Y31">
        <v>928.20503252477533</v>
      </c>
      <c r="Z31">
        <v>773.50344977462919</v>
      </c>
      <c r="AA31" s="4">
        <v>4783.4358285860862</v>
      </c>
      <c r="AB31" s="4">
        <v>5762.0363664089409</v>
      </c>
      <c r="AC31" s="4">
        <v>5261.8445475663002</v>
      </c>
      <c r="AD31">
        <v>4850</v>
      </c>
    </row>
    <row r="32" spans="1:30" x14ac:dyDescent="0.35">
      <c r="A32">
        <v>2038</v>
      </c>
      <c r="B32" s="4">
        <v>512</v>
      </c>
      <c r="C32" s="4">
        <f t="shared" si="7"/>
        <v>49.261866548014424</v>
      </c>
      <c r="D32" s="4">
        <v>142</v>
      </c>
      <c r="E32" s="4">
        <v>103.51282834375692</v>
      </c>
      <c r="F32" s="4">
        <v>22.384475906584338</v>
      </c>
      <c r="G32" s="4">
        <v>178</v>
      </c>
      <c r="H32" s="4">
        <f t="shared" si="9"/>
        <v>829.15917079835572</v>
      </c>
      <c r="I32" s="4">
        <f t="shared" si="2"/>
        <v>835.46538599995245</v>
      </c>
      <c r="J32" s="4">
        <f t="shared" si="3"/>
        <v>6.3062152015967285</v>
      </c>
      <c r="K32" s="4">
        <v>131.89467495113539</v>
      </c>
      <c r="L32" s="4">
        <v>83.427354637766371</v>
      </c>
      <c r="M32" s="4">
        <v>174.80017162198666</v>
      </c>
      <c r="O32" s="4">
        <v>810</v>
      </c>
      <c r="P32" s="2">
        <v>6.5</v>
      </c>
      <c r="Q32">
        <f t="shared" si="8"/>
        <v>95</v>
      </c>
      <c r="U32" s="3">
        <v>23</v>
      </c>
      <c r="W32">
        <v>6083.2094285194298</v>
      </c>
      <c r="X32">
        <f t="shared" si="5"/>
        <v>966.67822919789432</v>
      </c>
      <c r="Y32">
        <v>932.79349147096639</v>
      </c>
      <c r="Z32">
        <v>767.71160094211336</v>
      </c>
      <c r="AA32" s="4">
        <v>4722.0223555793154</v>
      </c>
      <c r="AB32" s="4">
        <v>5769.5934728201601</v>
      </c>
      <c r="AC32" s="4">
        <v>5261.8445475663002</v>
      </c>
      <c r="AD32">
        <v>4800</v>
      </c>
    </row>
    <row r="33" spans="1:30" x14ac:dyDescent="0.35">
      <c r="A33">
        <v>2039</v>
      </c>
      <c r="B33" s="4">
        <v>512</v>
      </c>
      <c r="C33" s="4">
        <f t="shared" si="7"/>
        <v>49.261866548014424</v>
      </c>
      <c r="D33" s="4">
        <v>142</v>
      </c>
      <c r="E33" s="4">
        <v>103.51282834375692</v>
      </c>
      <c r="F33" s="4">
        <v>22.384475906584338</v>
      </c>
      <c r="G33" s="4">
        <v>184</v>
      </c>
      <c r="H33" s="4">
        <f t="shared" si="9"/>
        <v>829.15917079835572</v>
      </c>
      <c r="I33" s="4">
        <f t="shared" si="2"/>
        <v>835.46538599995245</v>
      </c>
      <c r="J33" s="4">
        <f t="shared" si="3"/>
        <v>6.3062152015967285</v>
      </c>
      <c r="K33" s="4">
        <v>131.89467495113539</v>
      </c>
      <c r="L33" s="4">
        <v>83.427354637766371</v>
      </c>
      <c r="M33" s="4">
        <v>174.80017162198666</v>
      </c>
      <c r="O33" s="4">
        <v>815</v>
      </c>
      <c r="P33" s="2">
        <v>6.5</v>
      </c>
      <c r="Q33">
        <f t="shared" si="8"/>
        <v>95</v>
      </c>
      <c r="U33" s="3">
        <v>23</v>
      </c>
      <c r="W33">
        <v>6140.8698437862849</v>
      </c>
      <c r="X33">
        <f t="shared" si="5"/>
        <v>975.84100236556822</v>
      </c>
      <c r="Y33">
        <v>941.85962735901239</v>
      </c>
      <c r="Z33">
        <v>768.65401749556361</v>
      </c>
      <c r="AA33" s="4">
        <v>4670.9564496025596</v>
      </c>
      <c r="AB33" s="4">
        <v>5768.7673764671099</v>
      </c>
      <c r="AC33" s="4">
        <v>5261.8445475663002</v>
      </c>
      <c r="AD33">
        <v>4750</v>
      </c>
    </row>
    <row r="34" spans="1:30" x14ac:dyDescent="0.35">
      <c r="A34">
        <v>2040</v>
      </c>
      <c r="B34" s="4">
        <v>512</v>
      </c>
      <c r="C34" s="4">
        <f t="shared" si="7"/>
        <v>49.261866548014424</v>
      </c>
      <c r="D34" s="4">
        <v>142</v>
      </c>
      <c r="E34" s="4">
        <v>103.51282834375692</v>
      </c>
      <c r="F34" s="4">
        <v>22.384475906584338</v>
      </c>
      <c r="G34" s="4">
        <v>187</v>
      </c>
      <c r="H34" s="4">
        <f t="shared" si="9"/>
        <v>829.15917079835572</v>
      </c>
      <c r="I34" s="4">
        <f t="shared" si="2"/>
        <v>835.46538599995245</v>
      </c>
      <c r="J34" s="4">
        <f t="shared" si="3"/>
        <v>6.3062152015967285</v>
      </c>
      <c r="K34" s="4">
        <v>131.89467495113539</v>
      </c>
      <c r="L34" s="4">
        <v>83.427354637766371</v>
      </c>
      <c r="M34" s="4">
        <v>174.80017162198666</v>
      </c>
      <c r="O34" s="4">
        <v>818</v>
      </c>
      <c r="P34" s="2">
        <v>6.5</v>
      </c>
      <c r="Q34">
        <f t="shared" si="8"/>
        <v>95</v>
      </c>
      <c r="S34" s="4"/>
      <c r="U34" s="3">
        <v>23</v>
      </c>
      <c r="W34">
        <v>6171.551297731904</v>
      </c>
      <c r="X34">
        <f t="shared" si="5"/>
        <v>980.71656910675586</v>
      </c>
      <c r="Y34">
        <v>940.72079192512899</v>
      </c>
      <c r="Z34">
        <v>762.84175209557282</v>
      </c>
      <c r="AA34" s="4">
        <v>4615.7385455751028</v>
      </c>
      <c r="AB34" s="4">
        <v>5751.5011889056523</v>
      </c>
      <c r="AC34" s="4">
        <v>5261.8445475663002</v>
      </c>
      <c r="AD34">
        <v>4700</v>
      </c>
    </row>
    <row r="35" spans="1:30" x14ac:dyDescent="0.35">
      <c r="A35">
        <v>2041</v>
      </c>
      <c r="B35" s="4">
        <v>512</v>
      </c>
      <c r="C35" s="4">
        <f t="shared" si="7"/>
        <v>49.261866548014424</v>
      </c>
      <c r="D35" s="4">
        <v>142</v>
      </c>
      <c r="E35" s="4">
        <v>103.51282834375692</v>
      </c>
      <c r="F35" s="4">
        <v>22.384475906584338</v>
      </c>
      <c r="G35" s="4">
        <v>187</v>
      </c>
      <c r="H35" s="4">
        <f t="shared" si="9"/>
        <v>829.15917079835572</v>
      </c>
      <c r="I35" s="4">
        <f t="shared" si="2"/>
        <v>835.46538599995245</v>
      </c>
      <c r="J35" s="4">
        <f t="shared" si="3"/>
        <v>6.3062152015967285</v>
      </c>
      <c r="K35" s="4">
        <v>131.89467495113539</v>
      </c>
      <c r="L35" s="4">
        <v>83.427354637766371</v>
      </c>
      <c r="M35" s="4">
        <v>174.80017162198666</v>
      </c>
      <c r="O35" s="4">
        <v>818</v>
      </c>
      <c r="P35" s="2">
        <v>6.5</v>
      </c>
      <c r="Q35">
        <f t="shared" si="8"/>
        <v>95</v>
      </c>
      <c r="S35" s="4"/>
      <c r="U35" s="3">
        <v>23</v>
      </c>
      <c r="Y35">
        <v>944.30105875124514</v>
      </c>
      <c r="Z35">
        <v>760.54081014407041</v>
      </c>
      <c r="AA35" s="4">
        <v>4590.0173362948381</v>
      </c>
      <c r="AB35" s="4">
        <v>5778.7782519865168</v>
      </c>
      <c r="AC35" s="4">
        <v>5261.8445475663002</v>
      </c>
      <c r="AD35">
        <v>4675</v>
      </c>
    </row>
    <row r="36" spans="1:30" x14ac:dyDescent="0.35">
      <c r="A36">
        <v>2042</v>
      </c>
      <c r="B36" s="4">
        <v>512</v>
      </c>
      <c r="C36" s="4">
        <f t="shared" si="7"/>
        <v>49.261866548014424</v>
      </c>
      <c r="D36" s="4">
        <v>142</v>
      </c>
      <c r="E36" s="4">
        <v>103.51282834375692</v>
      </c>
      <c r="F36" s="4">
        <v>22.384475906584338</v>
      </c>
      <c r="G36" s="4">
        <v>187</v>
      </c>
      <c r="H36" s="4">
        <f t="shared" si="9"/>
        <v>829.15917079835572</v>
      </c>
      <c r="I36" s="4">
        <f t="shared" si="2"/>
        <v>835.46538599995245</v>
      </c>
      <c r="J36" s="4">
        <f t="shared" si="3"/>
        <v>6.3062152015967285</v>
      </c>
      <c r="K36" s="4">
        <v>131.89467495113539</v>
      </c>
      <c r="L36" s="4">
        <v>83.427354637766371</v>
      </c>
      <c r="M36" s="4">
        <v>174.80017162198666</v>
      </c>
      <c r="O36" s="4">
        <v>818</v>
      </c>
      <c r="P36" s="2">
        <v>6.5</v>
      </c>
      <c r="Q36">
        <f t="shared" si="8"/>
        <v>95</v>
      </c>
      <c r="S36" s="4"/>
      <c r="U36" s="3">
        <v>23</v>
      </c>
      <c r="Y36">
        <v>948.17993670061651</v>
      </c>
      <c r="Z36">
        <v>756.30870253119963</v>
      </c>
      <c r="AA36" s="4">
        <v>4553.7747773403253</v>
      </c>
      <c r="AB36" s="4">
        <v>5780.996691194011</v>
      </c>
      <c r="AC36" s="4">
        <v>5261.8445475663002</v>
      </c>
      <c r="AD36">
        <v>4650</v>
      </c>
    </row>
    <row r="37" spans="1:30" x14ac:dyDescent="0.35">
      <c r="A37">
        <v>2043</v>
      </c>
      <c r="B37" s="4">
        <v>512</v>
      </c>
      <c r="C37" s="4">
        <f t="shared" si="7"/>
        <v>49.261866548014424</v>
      </c>
      <c r="D37" s="4">
        <v>142</v>
      </c>
      <c r="E37" s="4">
        <v>103.51282834375692</v>
      </c>
      <c r="F37" s="4">
        <v>22.384475906584338</v>
      </c>
      <c r="G37" s="4">
        <v>187</v>
      </c>
      <c r="H37" s="4">
        <f t="shared" si="9"/>
        <v>829.15917079835572</v>
      </c>
      <c r="I37" s="4">
        <f t="shared" si="2"/>
        <v>835.46538599995245</v>
      </c>
      <c r="J37" s="4">
        <f t="shared" si="3"/>
        <v>6.3062152015967285</v>
      </c>
      <c r="K37" s="4">
        <v>131.89467495113539</v>
      </c>
      <c r="L37" s="4">
        <v>83.427354637766371</v>
      </c>
      <c r="M37" s="4">
        <v>174.80017162198666</v>
      </c>
      <c r="O37" s="4">
        <v>818</v>
      </c>
      <c r="P37" s="2">
        <v>6.5</v>
      </c>
      <c r="Q37">
        <f t="shared" si="8"/>
        <v>95</v>
      </c>
      <c r="S37" s="4"/>
      <c r="U37" s="3">
        <v>23</v>
      </c>
      <c r="Y37">
        <v>953.3995868004132</v>
      </c>
      <c r="Z37">
        <v>754.02165266602526</v>
      </c>
      <c r="AA37" s="4">
        <v>4518.0740520102354</v>
      </c>
      <c r="AB37" s="4">
        <v>5783.4575515490724</v>
      </c>
      <c r="AC37" s="4">
        <v>5261.8445475663002</v>
      </c>
      <c r="AD37">
        <v>4625</v>
      </c>
    </row>
    <row r="38" spans="1:30" x14ac:dyDescent="0.35">
      <c r="A38">
        <v>2044</v>
      </c>
      <c r="B38" s="4">
        <v>512</v>
      </c>
      <c r="C38" s="4">
        <f t="shared" si="7"/>
        <v>49.261866548014424</v>
      </c>
      <c r="D38" s="4">
        <v>142</v>
      </c>
      <c r="E38" s="4">
        <v>103.51282834375692</v>
      </c>
      <c r="F38" s="4">
        <v>22.384475906584338</v>
      </c>
      <c r="G38" s="4">
        <v>187</v>
      </c>
      <c r="H38" s="4">
        <f t="shared" si="9"/>
        <v>829.15917079835572</v>
      </c>
      <c r="I38" s="4">
        <f t="shared" si="2"/>
        <v>835.46538599995245</v>
      </c>
      <c r="J38" s="4">
        <f t="shared" si="3"/>
        <v>6.3062152015967285</v>
      </c>
      <c r="K38" s="4">
        <v>131.89467495113539</v>
      </c>
      <c r="L38" s="4">
        <v>83.427354637766371</v>
      </c>
      <c r="M38" s="4">
        <v>174.80017162198666</v>
      </c>
      <c r="O38" s="4">
        <v>818</v>
      </c>
      <c r="P38" s="2">
        <v>6.5</v>
      </c>
      <c r="Q38">
        <f t="shared" si="8"/>
        <v>95</v>
      </c>
      <c r="S38" s="4"/>
      <c r="U38" s="3">
        <v>23</v>
      </c>
      <c r="Y38">
        <v>957.16081100071449</v>
      </c>
      <c r="Z38">
        <v>751.58522751379155</v>
      </c>
      <c r="AA38" s="4">
        <v>4469.9245111222308</v>
      </c>
      <c r="AB38" s="4">
        <v>5772.3939610010011</v>
      </c>
      <c r="AC38" s="4">
        <v>5261.8445475663002</v>
      </c>
      <c r="AD38">
        <v>4600</v>
      </c>
    </row>
    <row r="39" spans="1:30" x14ac:dyDescent="0.35">
      <c r="A39">
        <v>2045</v>
      </c>
      <c r="B39" s="4">
        <v>512</v>
      </c>
      <c r="C39" s="4">
        <f t="shared" si="7"/>
        <v>49.261866548014424</v>
      </c>
      <c r="D39" s="4">
        <v>142</v>
      </c>
      <c r="E39" s="4">
        <v>103.51282834375692</v>
      </c>
      <c r="F39" s="4">
        <v>22.384475906584338</v>
      </c>
      <c r="G39" s="4">
        <v>187</v>
      </c>
      <c r="H39" s="4">
        <f t="shared" si="9"/>
        <v>829.15917079835572</v>
      </c>
      <c r="I39" s="4">
        <f t="shared" si="2"/>
        <v>835.46538599995245</v>
      </c>
      <c r="J39" s="4">
        <f t="shared" si="3"/>
        <v>6.3062152015967285</v>
      </c>
      <c r="K39" s="4">
        <v>131.89467495113539</v>
      </c>
      <c r="L39" s="4">
        <v>83.427354637766371</v>
      </c>
      <c r="M39" s="4">
        <v>174.80017162198666</v>
      </c>
      <c r="O39" s="4">
        <v>818</v>
      </c>
      <c r="P39" s="2">
        <v>6.5</v>
      </c>
      <c r="Q39">
        <f t="shared" si="8"/>
        <v>95</v>
      </c>
      <c r="S39" s="4"/>
      <c r="U39" s="3">
        <v>23</v>
      </c>
      <c r="Y39">
        <v>963.44484908196432</v>
      </c>
      <c r="Z39">
        <v>749.42953785087013</v>
      </c>
      <c r="AA39" s="4">
        <v>4448.5204858352608</v>
      </c>
      <c r="AB39" s="4">
        <v>5801.2829038888203</v>
      </c>
      <c r="AC39" s="4">
        <v>5261.8445475663002</v>
      </c>
      <c r="AD39">
        <v>4575</v>
      </c>
    </row>
    <row r="40" spans="1:30" x14ac:dyDescent="0.35">
      <c r="A40">
        <v>2046</v>
      </c>
      <c r="B40" s="4">
        <v>512</v>
      </c>
      <c r="C40" s="4">
        <f t="shared" si="7"/>
        <v>49.261866548014424</v>
      </c>
      <c r="D40" s="4">
        <v>142</v>
      </c>
      <c r="E40" s="4">
        <v>103.51282834375692</v>
      </c>
      <c r="F40" s="4">
        <v>22.384475906584338</v>
      </c>
      <c r="G40" s="4">
        <v>187</v>
      </c>
      <c r="H40" s="4">
        <f t="shared" si="9"/>
        <v>829.15917079835572</v>
      </c>
      <c r="I40" s="4">
        <f t="shared" si="2"/>
        <v>835.46538599995245</v>
      </c>
      <c r="J40" s="4">
        <f t="shared" si="3"/>
        <v>6.3062152015967285</v>
      </c>
      <c r="K40" s="4">
        <v>131.89467495113539</v>
      </c>
      <c r="L40" s="4">
        <v>83.427354637766371</v>
      </c>
      <c r="M40" s="4">
        <v>174.80017162198666</v>
      </c>
      <c r="O40" s="4">
        <v>818</v>
      </c>
      <c r="P40" s="2">
        <v>6.5</v>
      </c>
      <c r="Q40">
        <f t="shared" si="8"/>
        <v>95</v>
      </c>
      <c r="S40" s="4"/>
      <c r="U40" s="3">
        <v>23</v>
      </c>
      <c r="Y40">
        <v>967.98262625553946</v>
      </c>
      <c r="Z40">
        <v>744.97725191479344</v>
      </c>
      <c r="AA40" s="4">
        <v>4414.4893117113706</v>
      </c>
      <c r="AB40" s="4">
        <v>5827.9577194777185</v>
      </c>
      <c r="AC40" s="4">
        <v>5261.8445475663002</v>
      </c>
      <c r="AD40">
        <v>4550</v>
      </c>
    </row>
    <row r="41" spans="1:30" x14ac:dyDescent="0.35">
      <c r="A41">
        <v>2047</v>
      </c>
      <c r="B41" s="4">
        <v>512</v>
      </c>
      <c r="C41" s="4">
        <f t="shared" si="7"/>
        <v>49.261866548014424</v>
      </c>
      <c r="D41" s="4">
        <v>142</v>
      </c>
      <c r="E41" s="4">
        <v>103.51282834375692</v>
      </c>
      <c r="F41" s="4">
        <v>22.384475906584338</v>
      </c>
      <c r="G41" s="4">
        <v>187</v>
      </c>
      <c r="H41" s="4">
        <f t="shared" si="9"/>
        <v>829.15917079835572</v>
      </c>
      <c r="I41" s="4">
        <f t="shared" si="2"/>
        <v>835.46538599995245</v>
      </c>
      <c r="J41" s="4">
        <f t="shared" si="3"/>
        <v>6.3062152015967285</v>
      </c>
      <c r="K41" s="4">
        <v>131.89467495113539</v>
      </c>
      <c r="L41" s="4">
        <v>83.427354637766371</v>
      </c>
      <c r="M41" s="4">
        <v>174.80017162198666</v>
      </c>
      <c r="O41" s="4">
        <v>818</v>
      </c>
      <c r="P41" s="2">
        <v>6.5</v>
      </c>
      <c r="Q41">
        <f t="shared" si="8"/>
        <v>95</v>
      </c>
      <c r="S41" s="4"/>
      <c r="U41" s="3">
        <v>23</v>
      </c>
      <c r="Y41">
        <v>970.91528046202734</v>
      </c>
      <c r="Z41">
        <v>740.49318549966688</v>
      </c>
      <c r="AA41" s="4">
        <v>4380.942691073732</v>
      </c>
      <c r="AB41" s="4">
        <v>5841.9225355344533</v>
      </c>
      <c r="AC41" s="4">
        <v>5261.8445475663002</v>
      </c>
      <c r="AD41">
        <v>4525</v>
      </c>
    </row>
    <row r="42" spans="1:30" x14ac:dyDescent="0.35">
      <c r="A42">
        <v>2048</v>
      </c>
      <c r="B42" s="4">
        <v>512</v>
      </c>
      <c r="C42" s="4">
        <f t="shared" si="7"/>
        <v>49.261866548014424</v>
      </c>
      <c r="D42" s="4">
        <v>142</v>
      </c>
      <c r="E42" s="4">
        <v>103.51282834375692</v>
      </c>
      <c r="F42" s="4">
        <v>22.384475906584338</v>
      </c>
      <c r="G42" s="4">
        <v>187</v>
      </c>
      <c r="H42" s="4">
        <f t="shared" si="9"/>
        <v>829.15917079835572</v>
      </c>
      <c r="I42" s="4">
        <f t="shared" si="2"/>
        <v>835.46538599995245</v>
      </c>
      <c r="J42" s="4">
        <f t="shared" si="3"/>
        <v>6.3062152015967285</v>
      </c>
      <c r="K42" s="4">
        <v>131.89467495113539</v>
      </c>
      <c r="L42" s="4">
        <v>83.427354637766371</v>
      </c>
      <c r="M42" s="4">
        <v>174.80017162198666</v>
      </c>
      <c r="O42" s="4">
        <v>818</v>
      </c>
      <c r="P42" s="2">
        <v>6.5</v>
      </c>
      <c r="Q42">
        <f t="shared" si="8"/>
        <v>95</v>
      </c>
      <c r="S42" s="4"/>
      <c r="U42" s="3">
        <v>23</v>
      </c>
      <c r="Y42">
        <v>969.11631179561391</v>
      </c>
      <c r="Z42">
        <v>733.81335738092696</v>
      </c>
      <c r="AA42" s="4">
        <v>4334.9322289623269</v>
      </c>
      <c r="AB42" s="4">
        <v>5840.8220069605568</v>
      </c>
      <c r="AC42" s="4">
        <v>5261.8445475663002</v>
      </c>
      <c r="AD42">
        <v>4500</v>
      </c>
    </row>
    <row r="43" spans="1:30" x14ac:dyDescent="0.35">
      <c r="A43">
        <v>2049</v>
      </c>
      <c r="B43" s="4">
        <v>512</v>
      </c>
      <c r="C43" s="4">
        <f t="shared" si="7"/>
        <v>49.261866548014424</v>
      </c>
      <c r="D43" s="4">
        <v>142</v>
      </c>
      <c r="E43" s="4">
        <v>103.51282834375692</v>
      </c>
      <c r="F43" s="4">
        <v>22.384475906584338</v>
      </c>
      <c r="G43" s="4">
        <v>187</v>
      </c>
      <c r="H43" s="4">
        <f t="shared" si="9"/>
        <v>829.15917079835572</v>
      </c>
      <c r="I43" s="4">
        <f t="shared" si="2"/>
        <v>835.46538599995245</v>
      </c>
      <c r="J43" s="4">
        <f t="shared" si="3"/>
        <v>6.3062152015967285</v>
      </c>
      <c r="K43" s="4">
        <v>131.89467495113539</v>
      </c>
      <c r="L43" s="4">
        <v>83.427354637766371</v>
      </c>
      <c r="M43" s="4">
        <v>174.80017162198666</v>
      </c>
      <c r="O43" s="4">
        <v>818</v>
      </c>
      <c r="P43" s="2">
        <v>6.5</v>
      </c>
      <c r="Q43">
        <f t="shared" si="8"/>
        <v>95</v>
      </c>
      <c r="S43" s="4"/>
      <c r="U43" s="3">
        <v>23</v>
      </c>
      <c r="Y43">
        <v>973.27277838388511</v>
      </c>
      <c r="Z43">
        <v>731.46122535346865</v>
      </c>
      <c r="AA43" s="4">
        <v>4315.3743310599093</v>
      </c>
      <c r="AB43" s="4">
        <v>5871.2527647153647</v>
      </c>
      <c r="AC43" s="4">
        <v>5261.8445475663002</v>
      </c>
      <c r="AD43">
        <v>4475</v>
      </c>
    </row>
    <row r="44" spans="1:30" x14ac:dyDescent="0.35">
      <c r="A44">
        <v>2050</v>
      </c>
      <c r="B44" s="4">
        <v>512</v>
      </c>
      <c r="C44" s="4">
        <f t="shared" si="7"/>
        <v>49.261866548014424</v>
      </c>
      <c r="D44" s="4">
        <v>142</v>
      </c>
      <c r="E44" s="4">
        <v>103.51282834375692</v>
      </c>
      <c r="F44" s="4">
        <v>22.384475906584338</v>
      </c>
      <c r="G44" s="4">
        <v>187</v>
      </c>
      <c r="H44" s="4">
        <f t="shared" si="9"/>
        <v>829.15917079835572</v>
      </c>
      <c r="I44" s="4">
        <f t="shared" si="2"/>
        <v>835.46538599995245</v>
      </c>
      <c r="J44" s="4">
        <f t="shared" si="3"/>
        <v>6.3062152015967285</v>
      </c>
      <c r="K44" s="4">
        <v>131.89467495113539</v>
      </c>
      <c r="L44" s="4">
        <v>83.427354637766371</v>
      </c>
      <c r="M44" s="4">
        <v>174.80017162198666</v>
      </c>
      <c r="O44" s="4">
        <v>818</v>
      </c>
      <c r="P44" s="2">
        <v>6.5</v>
      </c>
      <c r="Q44">
        <f t="shared" si="8"/>
        <v>95</v>
      </c>
      <c r="S44" s="4"/>
      <c r="U44" s="3">
        <v>23</v>
      </c>
      <c r="Y44">
        <v>972.66075480571885</v>
      </c>
      <c r="Z44">
        <v>726.90248235449246</v>
      </c>
      <c r="AA44" s="4">
        <v>4283.4646134712848</v>
      </c>
      <c r="AB44" s="4">
        <v>5833.6654811531289</v>
      </c>
      <c r="AC44" s="4">
        <v>5261.8445475663002</v>
      </c>
      <c r="AD44">
        <v>4450</v>
      </c>
    </row>
    <row r="45" spans="1:30" x14ac:dyDescent="0.35">
      <c r="K45" s="4"/>
      <c r="L45" s="4"/>
      <c r="M45" s="4"/>
    </row>
    <row r="46" spans="1:30" x14ac:dyDescent="0.35">
      <c r="B46" s="4"/>
      <c r="K46" s="4"/>
      <c r="L46" s="4"/>
      <c r="M46" s="4"/>
    </row>
    <row r="47" spans="1:30" x14ac:dyDescent="0.35">
      <c r="K47" s="4"/>
      <c r="L47" s="4"/>
      <c r="M47" s="4"/>
    </row>
    <row r="48" spans="1:30" x14ac:dyDescent="0.35">
      <c r="K48" s="4"/>
      <c r="L48" s="4"/>
      <c r="M48" s="4"/>
    </row>
    <row r="49" spans="11:13" x14ac:dyDescent="0.35">
      <c r="K49" s="4"/>
      <c r="L49" s="4"/>
      <c r="M49" s="4"/>
    </row>
    <row r="50" spans="11:13" x14ac:dyDescent="0.35">
      <c r="K50" s="4"/>
      <c r="L50" s="4"/>
      <c r="M50" s="4"/>
    </row>
    <row r="51" spans="11:13" x14ac:dyDescent="0.35">
      <c r="K51" s="4"/>
      <c r="L51" s="4"/>
      <c r="M51" s="4"/>
    </row>
    <row r="52" spans="11:13" x14ac:dyDescent="0.35">
      <c r="K52" s="4"/>
      <c r="L52" s="4"/>
      <c r="M52" s="4"/>
    </row>
    <row r="53" spans="11:13" x14ac:dyDescent="0.35">
      <c r="K53" s="4"/>
      <c r="L53" s="4"/>
      <c r="M53" s="4"/>
    </row>
    <row r="54" spans="11:13" x14ac:dyDescent="0.35">
      <c r="K54" s="4"/>
      <c r="L54" s="4"/>
      <c r="M54" s="4"/>
    </row>
    <row r="55" spans="11:13" x14ac:dyDescent="0.35">
      <c r="K55" s="4"/>
      <c r="L55" s="4"/>
      <c r="M55" s="4"/>
    </row>
    <row r="56" spans="11:13" x14ac:dyDescent="0.35">
      <c r="K56" s="4"/>
      <c r="L56" s="4"/>
      <c r="M56" s="4"/>
    </row>
    <row r="57" spans="11:13" x14ac:dyDescent="0.35">
      <c r="K57" s="4"/>
      <c r="L57" s="4"/>
      <c r="M57" s="4"/>
    </row>
    <row r="58" spans="11:13" x14ac:dyDescent="0.35">
      <c r="K58" s="4"/>
      <c r="L58" s="4"/>
      <c r="M58" s="4"/>
    </row>
    <row r="59" spans="11:13" x14ac:dyDescent="0.35">
      <c r="K59" s="4"/>
      <c r="L59" s="4"/>
      <c r="M59" s="4"/>
    </row>
    <row r="60" spans="11:13" x14ac:dyDescent="0.35">
      <c r="K60" s="4"/>
      <c r="L60" s="4"/>
      <c r="M60" s="4"/>
    </row>
    <row r="61" spans="11:13" x14ac:dyDescent="0.35">
      <c r="K61" s="4"/>
      <c r="L61" s="4"/>
      <c r="M61" s="4"/>
    </row>
    <row r="62" spans="11:13" x14ac:dyDescent="0.35">
      <c r="K62" s="4"/>
      <c r="L62" s="4"/>
      <c r="M62" s="4"/>
    </row>
    <row r="63" spans="11:13" x14ac:dyDescent="0.35">
      <c r="K63" s="4"/>
      <c r="L63" s="4"/>
      <c r="M63" s="4"/>
    </row>
    <row r="64" spans="11:13" x14ac:dyDescent="0.35">
      <c r="K64" s="4"/>
      <c r="L64" s="4"/>
      <c r="M64" s="4"/>
    </row>
    <row r="65" spans="11:13" x14ac:dyDescent="0.35">
      <c r="K65" s="4"/>
      <c r="L65" s="4"/>
      <c r="M65" s="4"/>
    </row>
    <row r="66" spans="11:13" x14ac:dyDescent="0.35">
      <c r="K66" s="4"/>
      <c r="L66" s="4"/>
      <c r="M66" s="4"/>
    </row>
    <row r="67" spans="11:13" x14ac:dyDescent="0.35">
      <c r="K67" s="4"/>
      <c r="L67" s="4"/>
      <c r="M67" s="4"/>
    </row>
    <row r="68" spans="11:13" x14ac:dyDescent="0.35">
      <c r="K68" s="4"/>
      <c r="L68" s="4"/>
      <c r="M68" s="4"/>
    </row>
    <row r="69" spans="11:13" x14ac:dyDescent="0.35">
      <c r="K69" s="4"/>
      <c r="L69" s="4"/>
      <c r="M69" s="4"/>
    </row>
    <row r="70" spans="11:13" x14ac:dyDescent="0.35">
      <c r="K70" s="4"/>
      <c r="L70" s="4"/>
      <c r="M70"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E9" sqref="E9"/>
    </sheetView>
  </sheetViews>
  <sheetFormatPr defaultRowHeight="14.5" x14ac:dyDescent="0.35"/>
  <cols>
    <col min="1" max="1" width="24.08984375" customWidth="1"/>
    <col min="3" max="3" width="11.36328125" bestFit="1" customWidth="1"/>
    <col min="4" max="4" width="57.453125" customWidth="1"/>
  </cols>
  <sheetData>
    <row r="1" spans="1:4" ht="17.5" x14ac:dyDescent="0.35">
      <c r="A1" s="17" t="s">
        <v>51</v>
      </c>
    </row>
    <row r="3" spans="1:4" ht="101.5" x14ac:dyDescent="0.35">
      <c r="A3" s="18" t="s">
        <v>52</v>
      </c>
      <c r="B3" s="18" t="s">
        <v>53</v>
      </c>
      <c r="C3" s="18" t="s">
        <v>65</v>
      </c>
      <c r="D3" s="18" t="s">
        <v>54</v>
      </c>
    </row>
    <row r="4" spans="1:4" ht="19.25" customHeight="1" x14ac:dyDescent="0.35">
      <c r="A4" s="20" t="s">
        <v>1</v>
      </c>
      <c r="B4" s="19">
        <v>3207</v>
      </c>
      <c r="C4" s="19">
        <f>B4/6.2898</f>
        <v>509.87312792139659</v>
      </c>
      <c r="D4" s="19" t="s">
        <v>55</v>
      </c>
    </row>
    <row r="5" spans="1:4" ht="19.25" customHeight="1" x14ac:dyDescent="0.35">
      <c r="A5" s="20" t="s">
        <v>4</v>
      </c>
      <c r="B5" s="19">
        <v>586</v>
      </c>
      <c r="C5" s="19">
        <f t="shared" ref="C5:C12" si="0">B5/6.2898</f>
        <v>93.16671436293683</v>
      </c>
      <c r="D5" s="19" t="s">
        <v>56</v>
      </c>
    </row>
    <row r="6" spans="1:4" ht="19.25" customHeight="1" x14ac:dyDescent="0.35">
      <c r="A6" s="20" t="s">
        <v>3</v>
      </c>
      <c r="B6" s="19">
        <v>300</v>
      </c>
      <c r="C6" s="19">
        <f t="shared" si="0"/>
        <v>47.696270151674142</v>
      </c>
      <c r="D6" s="19" t="s">
        <v>57</v>
      </c>
    </row>
    <row r="7" spans="1:4" ht="20.25" customHeight="1" x14ac:dyDescent="0.35">
      <c r="A7" s="20" t="s">
        <v>31</v>
      </c>
      <c r="B7" s="19">
        <v>540</v>
      </c>
      <c r="C7" s="19">
        <f t="shared" si="0"/>
        <v>85.853286273013453</v>
      </c>
      <c r="D7" s="19" t="s">
        <v>58</v>
      </c>
    </row>
    <row r="8" spans="1:4" ht="19.25" customHeight="1" x14ac:dyDescent="0.35">
      <c r="A8" s="20" t="s">
        <v>2</v>
      </c>
      <c r="B8" s="19">
        <v>310</v>
      </c>
      <c r="C8" s="19">
        <f t="shared" si="0"/>
        <v>49.286145823396616</v>
      </c>
      <c r="D8" s="19" t="s">
        <v>59</v>
      </c>
    </row>
    <row r="9" spans="1:4" ht="19.25" customHeight="1" x14ac:dyDescent="0.35">
      <c r="A9" s="20" t="s">
        <v>40</v>
      </c>
      <c r="B9" s="19">
        <v>97</v>
      </c>
      <c r="C9" s="19">
        <f t="shared" si="0"/>
        <v>15.421794015707972</v>
      </c>
      <c r="D9" s="19" t="s">
        <v>59</v>
      </c>
    </row>
    <row r="10" spans="1:4" ht="19.25" customHeight="1" x14ac:dyDescent="0.35">
      <c r="A10" s="20" t="s">
        <v>41</v>
      </c>
      <c r="B10" s="19">
        <v>44</v>
      </c>
      <c r="C10" s="19">
        <f t="shared" si="0"/>
        <v>6.995452955578874</v>
      </c>
      <c r="D10" s="19" t="s">
        <v>59</v>
      </c>
    </row>
    <row r="11" spans="1:4" ht="19.25" customHeight="1" x14ac:dyDescent="0.35">
      <c r="A11" s="20" t="s">
        <v>60</v>
      </c>
      <c r="B11" s="19">
        <v>120</v>
      </c>
      <c r="C11" s="19">
        <f t="shared" si="0"/>
        <v>19.078508060669655</v>
      </c>
      <c r="D11" s="19" t="s">
        <v>59</v>
      </c>
    </row>
    <row r="12" spans="1:4" ht="31.75" customHeight="1" x14ac:dyDescent="0.35">
      <c r="A12" s="20" t="s">
        <v>61</v>
      </c>
      <c r="B12" s="19">
        <v>58</v>
      </c>
      <c r="C12" s="19">
        <f t="shared" si="0"/>
        <v>9.2212788959903342</v>
      </c>
      <c r="D12" s="19" t="s">
        <v>62</v>
      </c>
    </row>
    <row r="13" spans="1:4" ht="19.25" customHeight="1" x14ac:dyDescent="0.35">
      <c r="A13" s="20" t="s">
        <v>63</v>
      </c>
      <c r="B13" s="20" t="s">
        <v>64</v>
      </c>
      <c r="C13" s="20"/>
      <c r="D13"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
  <sheetViews>
    <sheetView topLeftCell="G1" workbookViewId="0">
      <selection activeCell="W4" sqref="W4"/>
    </sheetView>
  </sheetViews>
  <sheetFormatPr defaultColWidth="8.7265625" defaultRowHeight="14.5" x14ac:dyDescent="0.35"/>
  <cols>
    <col min="2" max="9" width="21.7265625" customWidth="1"/>
    <col min="11" max="14" width="10.7265625" style="2" customWidth="1"/>
  </cols>
  <sheetData>
    <row r="1" spans="1:25" x14ac:dyDescent="0.35">
      <c r="A1" s="1" t="s">
        <v>0</v>
      </c>
    </row>
    <row r="2" spans="1:25" x14ac:dyDescent="0.35">
      <c r="G2">
        <f>(560-50+87)/6.2929</f>
        <v>94.868820416660043</v>
      </c>
      <c r="J2" s="2"/>
      <c r="K2"/>
      <c r="L2"/>
      <c r="M2"/>
      <c r="N2"/>
    </row>
    <row r="3" spans="1:25" s="6" customFormat="1" ht="63.5" x14ac:dyDescent="0.35">
      <c r="B3" s="6" t="s">
        <v>1</v>
      </c>
      <c r="C3" s="6" t="s">
        <v>2</v>
      </c>
      <c r="D3" s="6" t="s">
        <v>3</v>
      </c>
      <c r="E3" s="6" t="s">
        <v>4</v>
      </c>
      <c r="F3" s="6" t="s">
        <v>5</v>
      </c>
      <c r="G3" s="8" t="s">
        <v>28</v>
      </c>
      <c r="H3" s="6" t="s">
        <v>6</v>
      </c>
      <c r="I3" s="6" t="s">
        <v>7</v>
      </c>
      <c r="J3" s="8" t="s">
        <v>27</v>
      </c>
      <c r="K3" s="8" t="s">
        <v>8</v>
      </c>
      <c r="L3" s="8" t="s">
        <v>31</v>
      </c>
      <c r="M3" s="8" t="s">
        <v>9</v>
      </c>
      <c r="N3" s="8" t="s">
        <v>10</v>
      </c>
      <c r="O3" s="8" t="s">
        <v>29</v>
      </c>
      <c r="P3" s="9" t="s">
        <v>11</v>
      </c>
      <c r="Q3" s="9" t="s">
        <v>30</v>
      </c>
      <c r="R3" s="9" t="s">
        <v>26</v>
      </c>
      <c r="S3" s="9" t="s">
        <v>12</v>
      </c>
      <c r="T3" s="9" t="s">
        <v>13</v>
      </c>
      <c r="U3" s="6" t="s">
        <v>32</v>
      </c>
      <c r="V3" s="6" t="s">
        <v>33</v>
      </c>
      <c r="W3" s="6" t="s">
        <v>34</v>
      </c>
      <c r="X3" s="6" t="s">
        <v>35</v>
      </c>
      <c r="Y3" s="6" t="s">
        <v>36</v>
      </c>
    </row>
    <row r="4" spans="1:25" x14ac:dyDescent="0.35">
      <c r="A4">
        <v>2010</v>
      </c>
      <c r="B4" s="4">
        <v>327</v>
      </c>
      <c r="C4" s="4">
        <v>32</v>
      </c>
      <c r="D4" s="4">
        <f>48-6.5</f>
        <v>41.5</v>
      </c>
      <c r="E4" s="4">
        <v>17</v>
      </c>
      <c r="F4" s="4">
        <v>16</v>
      </c>
      <c r="G4" s="4">
        <v>357</v>
      </c>
      <c r="H4" s="4">
        <v>0</v>
      </c>
      <c r="I4" s="4">
        <v>0</v>
      </c>
      <c r="J4" s="2">
        <f>R4/6.2929-Q4+T4</f>
        <v>354.93969603094865</v>
      </c>
      <c r="K4" s="4">
        <v>0</v>
      </c>
      <c r="L4" s="4">
        <v>0</v>
      </c>
      <c r="M4" s="4">
        <v>0</v>
      </c>
      <c r="N4" s="4">
        <v>0</v>
      </c>
      <c r="O4" s="2">
        <f>S4/6.2929-Q4+T4</f>
        <v>355.86517691959511</v>
      </c>
      <c r="P4" s="2">
        <v>6.5</v>
      </c>
      <c r="Q4">
        <v>69</v>
      </c>
      <c r="R4" s="2">
        <v>2667.8101131531571</v>
      </c>
      <c r="S4" s="2">
        <v>2673.6340718373203</v>
      </c>
      <c r="T4" s="3">
        <v>0</v>
      </c>
      <c r="U4">
        <v>2667.8101131531571</v>
      </c>
      <c r="V4">
        <v>2196.7771089093626</v>
      </c>
      <c r="W4">
        <f>V4/6.2929</f>
        <v>349.0881960478257</v>
      </c>
      <c r="X4">
        <v>349.17282891335833</v>
      </c>
      <c r="Y4">
        <v>349.17282891335833</v>
      </c>
    </row>
    <row r="5" spans="1:25" x14ac:dyDescent="0.35">
      <c r="A5">
        <v>2011</v>
      </c>
      <c r="B5" s="4">
        <v>361</v>
      </c>
      <c r="C5" s="4">
        <v>28</v>
      </c>
      <c r="D5" s="4">
        <f t="shared" ref="D5:D35" si="0">48-6.5</f>
        <v>41.5</v>
      </c>
      <c r="E5" s="4">
        <v>56</v>
      </c>
      <c r="F5" s="4">
        <v>17</v>
      </c>
      <c r="G5" s="4">
        <v>388</v>
      </c>
      <c r="H5" s="4">
        <v>0</v>
      </c>
      <c r="I5" s="4">
        <v>0</v>
      </c>
      <c r="J5" s="2">
        <f t="shared" ref="J5:J29" si="1">R5/6.2929-Q5+T5</f>
        <v>384.83271730307627</v>
      </c>
      <c r="K5" s="4">
        <v>0</v>
      </c>
      <c r="L5" s="4">
        <v>0</v>
      </c>
      <c r="M5" s="4">
        <v>0</v>
      </c>
      <c r="N5" s="4">
        <v>0</v>
      </c>
      <c r="O5" s="2">
        <f t="shared" ref="O5:O24" si="2">S5/6.2929-Q5+T5</f>
        <v>388.59902759036441</v>
      </c>
      <c r="P5" s="2">
        <v>6.5</v>
      </c>
      <c r="Q5">
        <v>76</v>
      </c>
      <c r="R5" s="2">
        <v>2899.9742067165289</v>
      </c>
      <c r="S5" s="2">
        <v>2923.6752207234044</v>
      </c>
      <c r="T5" s="3">
        <v>0</v>
      </c>
      <c r="U5">
        <v>2899.9742067165289</v>
      </c>
      <c r="V5">
        <v>2419.0307329384241</v>
      </c>
      <c r="W5">
        <f t="shared" ref="W5:W34" si="3">V5/6.2929</f>
        <v>384.40635206954249</v>
      </c>
      <c r="X5">
        <v>384.46590205206314</v>
      </c>
      <c r="Y5">
        <v>384.46590205206314</v>
      </c>
    </row>
    <row r="6" spans="1:25" x14ac:dyDescent="0.35">
      <c r="A6">
        <v>2012</v>
      </c>
      <c r="B6" s="4">
        <v>361</v>
      </c>
      <c r="C6" s="4">
        <v>30</v>
      </c>
      <c r="D6" s="4">
        <f t="shared" si="0"/>
        <v>41.5</v>
      </c>
      <c r="E6" s="4">
        <v>74</v>
      </c>
      <c r="F6" s="4">
        <v>15</v>
      </c>
      <c r="G6" s="4">
        <v>441</v>
      </c>
      <c r="H6" s="4">
        <v>0</v>
      </c>
      <c r="I6" s="4">
        <v>0</v>
      </c>
      <c r="J6" s="2">
        <f t="shared" si="1"/>
        <v>433.0787795356963</v>
      </c>
      <c r="K6" s="4">
        <v>0</v>
      </c>
      <c r="L6" s="4">
        <v>0</v>
      </c>
      <c r="M6" s="4">
        <v>0</v>
      </c>
      <c r="N6" s="4">
        <v>0</v>
      </c>
      <c r="O6" s="2">
        <f t="shared" si="2"/>
        <v>435.84037029651927</v>
      </c>
      <c r="P6" s="2">
        <v>6.5</v>
      </c>
      <c r="Q6">
        <v>79</v>
      </c>
      <c r="R6" s="2">
        <v>3222.4605517401837</v>
      </c>
      <c r="S6" s="2">
        <v>3239.8389662389663</v>
      </c>
      <c r="T6" s="5">
        <v>0</v>
      </c>
      <c r="U6">
        <v>3222.4605517401837</v>
      </c>
      <c r="V6">
        <v>2710.8170507496025</v>
      </c>
      <c r="W6">
        <f t="shared" si="3"/>
        <v>430.77389609712571</v>
      </c>
      <c r="X6">
        <v>430.7950385997525</v>
      </c>
      <c r="Y6">
        <v>430.7950385997525</v>
      </c>
    </row>
    <row r="7" spans="1:25" x14ac:dyDescent="0.35">
      <c r="A7">
        <v>2013</v>
      </c>
      <c r="B7" s="4">
        <v>350</v>
      </c>
      <c r="C7" s="4">
        <v>32</v>
      </c>
      <c r="D7" s="4">
        <f t="shared" si="0"/>
        <v>41.5</v>
      </c>
      <c r="E7" s="4">
        <v>79</v>
      </c>
      <c r="F7" s="4">
        <v>15</v>
      </c>
      <c r="G7" s="4">
        <v>465</v>
      </c>
      <c r="H7" s="4">
        <v>11</v>
      </c>
      <c r="I7" s="4">
        <v>0</v>
      </c>
      <c r="J7" s="2">
        <f t="shared" si="1"/>
        <v>474.34350889823986</v>
      </c>
      <c r="K7" s="4">
        <v>0</v>
      </c>
      <c r="L7" s="4">
        <v>0</v>
      </c>
      <c r="M7" s="4">
        <v>0</v>
      </c>
      <c r="N7" s="4">
        <v>0</v>
      </c>
      <c r="O7" s="2">
        <f t="shared" si="2"/>
        <v>477.79989006695087</v>
      </c>
      <c r="P7" s="2">
        <v>6.5</v>
      </c>
      <c r="Q7">
        <v>79</v>
      </c>
      <c r="R7" s="2">
        <v>3450.6708671457336</v>
      </c>
      <c r="S7" s="2">
        <v>3472.4215282023156</v>
      </c>
      <c r="T7" s="3">
        <v>5</v>
      </c>
      <c r="U7">
        <v>3450.6708671457336</v>
      </c>
      <c r="V7">
        <v>2942.6771306684564</v>
      </c>
      <c r="W7">
        <f t="shared" si="3"/>
        <v>467.6186067899468</v>
      </c>
      <c r="X7">
        <v>467.88835392604324</v>
      </c>
      <c r="Y7">
        <v>467.88835392604324</v>
      </c>
    </row>
    <row r="8" spans="1:25" x14ac:dyDescent="0.35">
      <c r="A8">
        <v>2014</v>
      </c>
      <c r="B8" s="4">
        <v>383</v>
      </c>
      <c r="C8" s="4">
        <v>31</v>
      </c>
      <c r="D8" s="4">
        <f t="shared" si="0"/>
        <v>41.5</v>
      </c>
      <c r="E8" s="4">
        <v>82</v>
      </c>
      <c r="F8" s="4">
        <v>16</v>
      </c>
      <c r="G8" s="4">
        <v>514</v>
      </c>
      <c r="H8" s="4">
        <v>25</v>
      </c>
      <c r="I8" s="4">
        <v>0</v>
      </c>
      <c r="J8" s="2">
        <f t="shared" si="1"/>
        <v>530.82524449991047</v>
      </c>
      <c r="K8" s="4">
        <v>0</v>
      </c>
      <c r="L8" s="4">
        <v>0</v>
      </c>
      <c r="M8" s="4">
        <v>0</v>
      </c>
      <c r="N8" s="4">
        <v>0</v>
      </c>
      <c r="O8" s="2">
        <f t="shared" si="2"/>
        <v>508.86809894693477</v>
      </c>
      <c r="P8" s="2">
        <v>6.5</v>
      </c>
      <c r="Q8">
        <v>83</v>
      </c>
      <c r="R8" s="2">
        <v>3799.8118811134868</v>
      </c>
      <c r="S8" s="2">
        <v>3661.6377598631657</v>
      </c>
      <c r="T8" s="3">
        <v>10</v>
      </c>
      <c r="U8">
        <v>3799.8118811134868</v>
      </c>
      <c r="V8">
        <v>3188.1333353245095</v>
      </c>
      <c r="W8">
        <f t="shared" si="3"/>
        <v>506.62386742591002</v>
      </c>
      <c r="X8">
        <v>506.6833022218816</v>
      </c>
      <c r="Y8">
        <v>506.6833022218816</v>
      </c>
    </row>
    <row r="9" spans="1:25" x14ac:dyDescent="0.35">
      <c r="A9">
        <v>2015</v>
      </c>
      <c r="B9" s="4">
        <v>441</v>
      </c>
      <c r="C9" s="4">
        <f>280/6.2929</f>
        <v>44.494589140142061</v>
      </c>
      <c r="D9" s="4">
        <f t="shared" si="0"/>
        <v>41.5</v>
      </c>
      <c r="E9" s="4">
        <v>95</v>
      </c>
      <c r="F9" s="4">
        <v>16</v>
      </c>
      <c r="G9" s="4">
        <v>544</v>
      </c>
      <c r="H9" s="4">
        <v>23</v>
      </c>
      <c r="I9" s="4">
        <v>0</v>
      </c>
      <c r="J9" s="2">
        <f t="shared" si="1"/>
        <v>564.73460638141194</v>
      </c>
      <c r="K9" s="4">
        <v>0</v>
      </c>
      <c r="L9" s="4">
        <v>0</v>
      </c>
      <c r="M9" s="4">
        <v>0</v>
      </c>
      <c r="N9" s="4">
        <v>0</v>
      </c>
      <c r="O9" s="2">
        <f t="shared" si="2"/>
        <v>557.30064931468462</v>
      </c>
      <c r="P9" s="2">
        <v>6.5</v>
      </c>
      <c r="Q9">
        <v>83</v>
      </c>
      <c r="R9" s="2">
        <v>3981.7356044975877</v>
      </c>
      <c r="S9" s="2">
        <v>3934.9544560723789</v>
      </c>
      <c r="T9" s="3">
        <v>15</v>
      </c>
      <c r="U9">
        <v>3981.7356044975877</v>
      </c>
      <c r="V9">
        <v>3394.3286872549638</v>
      </c>
      <c r="W9">
        <f t="shared" si="3"/>
        <v>539.39021552145493</v>
      </c>
      <c r="X9">
        <v>541.27707255588712</v>
      </c>
      <c r="Y9">
        <v>541.27707255588712</v>
      </c>
    </row>
    <row r="10" spans="1:25" x14ac:dyDescent="0.35">
      <c r="A10">
        <v>2016</v>
      </c>
      <c r="B10" s="4">
        <v>450</v>
      </c>
      <c r="C10" s="4">
        <f t="shared" ref="C10:C13" si="4">280/6.2929</f>
        <v>44.494589140142061</v>
      </c>
      <c r="D10" s="4">
        <f t="shared" si="0"/>
        <v>41.5</v>
      </c>
      <c r="E10" s="4">
        <v>95</v>
      </c>
      <c r="F10" s="4">
        <v>16</v>
      </c>
      <c r="G10" s="4">
        <v>597</v>
      </c>
      <c r="H10" s="4">
        <v>52</v>
      </c>
      <c r="I10" s="4">
        <v>0</v>
      </c>
      <c r="J10" s="2">
        <f t="shared" si="1"/>
        <v>565.07226424460714</v>
      </c>
      <c r="K10" s="4">
        <v>0</v>
      </c>
      <c r="L10" s="4">
        <v>0</v>
      </c>
      <c r="M10" s="4">
        <v>0</v>
      </c>
      <c r="N10" s="4">
        <v>0</v>
      </c>
      <c r="O10" s="2">
        <f t="shared" si="2"/>
        <v>619.72999222827559</v>
      </c>
      <c r="P10" s="2">
        <v>6.5</v>
      </c>
      <c r="Q10">
        <v>79.3</v>
      </c>
      <c r="R10" s="2">
        <v>3910.2335216648885</v>
      </c>
      <c r="S10" s="2">
        <v>4254.1891380933157</v>
      </c>
      <c r="T10" s="3">
        <v>23</v>
      </c>
      <c r="U10">
        <v>3910.2335216648885</v>
      </c>
      <c r="V10">
        <v>3472.4553677753834</v>
      </c>
      <c r="W10">
        <f t="shared" si="3"/>
        <v>551.80526748802356</v>
      </c>
      <c r="X10">
        <v>553.55108409693332</v>
      </c>
      <c r="Y10">
        <v>553.55108409693332</v>
      </c>
    </row>
    <row r="11" spans="1:25" x14ac:dyDescent="0.35">
      <c r="A11">
        <v>2017</v>
      </c>
      <c r="B11" s="4">
        <v>457</v>
      </c>
      <c r="C11" s="4">
        <f t="shared" si="4"/>
        <v>44.494589140142061</v>
      </c>
      <c r="D11" s="4">
        <f t="shared" si="0"/>
        <v>41.5</v>
      </c>
      <c r="E11" s="4">
        <v>95</v>
      </c>
      <c r="F11" s="4">
        <v>16</v>
      </c>
      <c r="G11" s="4">
        <v>628</v>
      </c>
      <c r="H11" s="4">
        <v>83</v>
      </c>
      <c r="I11" s="4">
        <v>0</v>
      </c>
      <c r="J11" s="2">
        <f t="shared" si="1"/>
        <v>611.53038465644079</v>
      </c>
      <c r="K11" s="4">
        <v>0</v>
      </c>
      <c r="L11" s="4">
        <v>0</v>
      </c>
      <c r="M11" s="4">
        <v>0</v>
      </c>
      <c r="N11" s="4">
        <v>0</v>
      </c>
      <c r="O11" s="2">
        <f t="shared" si="2"/>
        <v>652.48306251665929</v>
      </c>
      <c r="P11" s="2">
        <v>6.5</v>
      </c>
      <c r="Q11">
        <v>78</v>
      </c>
      <c r="R11" s="2">
        <v>4194.4090576045164</v>
      </c>
      <c r="S11" s="2">
        <v>4452.1201641110856</v>
      </c>
      <c r="T11" s="3">
        <v>23</v>
      </c>
      <c r="U11">
        <v>4194.4090576045164</v>
      </c>
      <c r="V11">
        <v>3776.0591363598614</v>
      </c>
      <c r="W11">
        <f t="shared" si="3"/>
        <v>600.05071371861322</v>
      </c>
      <c r="X11">
        <v>602.20114059880632</v>
      </c>
      <c r="Y11">
        <v>602.20114059880632</v>
      </c>
    </row>
    <row r="12" spans="1:25" x14ac:dyDescent="0.35">
      <c r="A12">
        <v>2018</v>
      </c>
      <c r="B12" s="4">
        <v>457</v>
      </c>
      <c r="C12" s="4">
        <f t="shared" si="4"/>
        <v>44.494589140142061</v>
      </c>
      <c r="D12" s="4">
        <f t="shared" si="0"/>
        <v>41.5</v>
      </c>
      <c r="E12" s="4">
        <v>95</v>
      </c>
      <c r="F12" s="4">
        <v>16</v>
      </c>
      <c r="G12" s="4">
        <v>630</v>
      </c>
      <c r="H12" s="4">
        <v>69</v>
      </c>
      <c r="I12" s="4">
        <v>0</v>
      </c>
      <c r="J12" s="2">
        <f t="shared" si="1"/>
        <v>666.47548806147688</v>
      </c>
      <c r="K12" s="4">
        <v>0</v>
      </c>
      <c r="L12" s="4">
        <v>0</v>
      </c>
      <c r="M12" s="4">
        <v>0</v>
      </c>
      <c r="N12" s="4">
        <v>0</v>
      </c>
      <c r="O12" s="2">
        <f t="shared" si="2"/>
        <v>685.48453687721212</v>
      </c>
      <c r="P12" s="2">
        <v>6.5</v>
      </c>
      <c r="Q12">
        <v>78</v>
      </c>
      <c r="R12" s="2">
        <v>4540.1730988220679</v>
      </c>
      <c r="S12" s="2">
        <v>4659.7951421146081</v>
      </c>
      <c r="T12" s="3">
        <v>23</v>
      </c>
      <c r="U12">
        <v>4657.3819938835068</v>
      </c>
      <c r="V12">
        <v>4146.9923391004822</v>
      </c>
      <c r="W12">
        <f t="shared" si="3"/>
        <v>658.99542962711655</v>
      </c>
      <c r="X12">
        <v>663.13767875598774</v>
      </c>
      <c r="Y12">
        <v>663.13767875598774</v>
      </c>
    </row>
    <row r="13" spans="1:25" x14ac:dyDescent="0.35">
      <c r="A13">
        <v>2019</v>
      </c>
      <c r="B13" s="4">
        <v>457</v>
      </c>
      <c r="C13" s="4">
        <f t="shared" si="4"/>
        <v>44.494589140142061</v>
      </c>
      <c r="D13" s="4">
        <f t="shared" si="0"/>
        <v>41.5</v>
      </c>
      <c r="E13" s="4">
        <v>95</v>
      </c>
      <c r="F13" s="4">
        <v>16</v>
      </c>
      <c r="G13" s="4">
        <v>644</v>
      </c>
      <c r="H13" s="4">
        <v>17</v>
      </c>
      <c r="I13" s="4">
        <v>58</v>
      </c>
      <c r="J13" s="2">
        <f t="shared" si="1"/>
        <v>696.08066591290799</v>
      </c>
      <c r="K13" s="4">
        <v>0</v>
      </c>
      <c r="L13" s="4">
        <v>0</v>
      </c>
      <c r="M13" s="4">
        <v>0</v>
      </c>
      <c r="N13" s="4">
        <v>0</v>
      </c>
      <c r="O13" s="2">
        <f t="shared" si="2"/>
        <v>715.76882321197797</v>
      </c>
      <c r="P13" s="2">
        <v>6.5</v>
      </c>
      <c r="Q13">
        <f>Q12+50/6.2929</f>
        <v>85.945462346453937</v>
      </c>
      <c r="R13" s="2">
        <v>4776.4755225233394</v>
      </c>
      <c r="S13" s="2">
        <v>4900.3711275906562</v>
      </c>
      <c r="T13" s="3">
        <v>23</v>
      </c>
      <c r="U13">
        <v>4801.8175802283668</v>
      </c>
      <c r="V13">
        <v>4207.3855582707884</v>
      </c>
      <c r="W13">
        <f t="shared" si="3"/>
        <v>668.59247060509279</v>
      </c>
      <c r="X13">
        <v>665.00419268177325</v>
      </c>
      <c r="Y13">
        <v>664.97623423918969</v>
      </c>
    </row>
    <row r="14" spans="1:25" x14ac:dyDescent="0.35">
      <c r="A14">
        <v>2020</v>
      </c>
      <c r="B14" s="4">
        <v>457</v>
      </c>
      <c r="C14" s="4">
        <f>320/6.2929</f>
        <v>50.850959017305215</v>
      </c>
      <c r="D14" s="4">
        <f t="shared" si="0"/>
        <v>41.5</v>
      </c>
      <c r="E14" s="4">
        <v>95</v>
      </c>
      <c r="F14" s="4">
        <v>35</v>
      </c>
      <c r="G14" s="4">
        <v>645</v>
      </c>
      <c r="H14" s="4">
        <v>18</v>
      </c>
      <c r="I14" s="4">
        <v>58</v>
      </c>
      <c r="J14" s="2">
        <f t="shared" si="1"/>
        <v>713.57615937885009</v>
      </c>
      <c r="K14" s="4">
        <v>0</v>
      </c>
      <c r="L14" s="4">
        <v>0</v>
      </c>
      <c r="M14" s="4">
        <v>0</v>
      </c>
      <c r="N14" s="4">
        <v>0</v>
      </c>
      <c r="O14" s="2">
        <f t="shared" si="2"/>
        <v>754.76525089686152</v>
      </c>
      <c r="P14" s="2">
        <v>6.5</v>
      </c>
      <c r="Q14">
        <f>95</f>
        <v>95</v>
      </c>
      <c r="R14" s="2">
        <v>4943.5522133551658</v>
      </c>
      <c r="S14" s="2">
        <v>5202.7510473688599</v>
      </c>
      <c r="T14" s="3">
        <v>23</v>
      </c>
      <c r="U14">
        <v>5003.5314770948116</v>
      </c>
      <c r="V14">
        <v>4399.7021550632135</v>
      </c>
      <c r="W14">
        <f t="shared" si="3"/>
        <v>699.15335617334028</v>
      </c>
      <c r="X14">
        <v>578.78969208880767</v>
      </c>
      <c r="Y14">
        <v>580.1484403110029</v>
      </c>
    </row>
    <row r="15" spans="1:25" x14ac:dyDescent="0.35">
      <c r="A15">
        <v>2021</v>
      </c>
      <c r="B15" s="4">
        <v>474</v>
      </c>
      <c r="C15" s="4">
        <f t="shared" ref="C15:C35" si="5">320/6.2929</f>
        <v>50.850959017305215</v>
      </c>
      <c r="D15" s="4">
        <f t="shared" si="0"/>
        <v>41.5</v>
      </c>
      <c r="E15" s="4">
        <v>104</v>
      </c>
      <c r="F15" s="4">
        <v>35</v>
      </c>
      <c r="G15" s="4">
        <v>646</v>
      </c>
      <c r="H15" s="4">
        <v>15</v>
      </c>
      <c r="I15" s="4">
        <v>58</v>
      </c>
      <c r="J15" s="2">
        <f t="shared" si="1"/>
        <v>725.23100883204734</v>
      </c>
      <c r="K15" s="4">
        <v>66</v>
      </c>
      <c r="L15" s="4">
        <v>55</v>
      </c>
      <c r="M15" s="4">
        <v>0</v>
      </c>
      <c r="N15" s="4">
        <v>0</v>
      </c>
      <c r="O15" s="2">
        <f t="shared" si="2"/>
        <v>799.68896137476213</v>
      </c>
      <c r="P15" s="2">
        <v>6.5</v>
      </c>
      <c r="Q15">
        <f t="shared" ref="Q15:Q34" si="6">Q14</f>
        <v>95</v>
      </c>
      <c r="R15" s="2">
        <v>5016.895015479191</v>
      </c>
      <c r="S15" s="2">
        <v>5485.4514650352412</v>
      </c>
      <c r="T15" s="3">
        <v>23</v>
      </c>
      <c r="U15">
        <v>5093.3401429754695</v>
      </c>
      <c r="V15">
        <v>4599.5395244935235</v>
      </c>
      <c r="W15">
        <f t="shared" si="3"/>
        <v>730.90936205779894</v>
      </c>
      <c r="X15">
        <v>658.34190836490711</v>
      </c>
      <c r="Y15">
        <v>642.46025442747634</v>
      </c>
    </row>
    <row r="16" spans="1:25" x14ac:dyDescent="0.35">
      <c r="A16">
        <v>2022</v>
      </c>
      <c r="B16" s="4">
        <v>474</v>
      </c>
      <c r="C16" s="4">
        <f t="shared" si="5"/>
        <v>50.850959017305215</v>
      </c>
      <c r="D16" s="4">
        <f t="shared" si="0"/>
        <v>41.5</v>
      </c>
      <c r="E16" s="4">
        <v>104</v>
      </c>
      <c r="F16" s="4">
        <v>35</v>
      </c>
      <c r="G16" s="4">
        <v>649</v>
      </c>
      <c r="H16" s="4">
        <v>17</v>
      </c>
      <c r="I16" s="4">
        <v>58</v>
      </c>
      <c r="J16" s="2">
        <f t="shared" si="1"/>
        <v>737.50617905378135</v>
      </c>
      <c r="K16" s="4">
        <v>131.89467495113539</v>
      </c>
      <c r="L16" s="4">
        <v>96</v>
      </c>
      <c r="M16" s="4">
        <f>83/2</f>
        <v>41.5</v>
      </c>
      <c r="N16" s="4">
        <v>0</v>
      </c>
      <c r="O16" s="2">
        <f t="shared" si="2"/>
        <v>834.89043464490317</v>
      </c>
      <c r="P16" s="2">
        <v>6.5</v>
      </c>
      <c r="Q16">
        <f t="shared" si="6"/>
        <v>95</v>
      </c>
      <c r="R16" s="2">
        <v>5094.1414341675409</v>
      </c>
      <c r="S16" s="2">
        <v>5706.9708161769113</v>
      </c>
      <c r="T16" s="3">
        <v>23</v>
      </c>
      <c r="U16">
        <v>5226.2318734160181</v>
      </c>
      <c r="V16">
        <v>4673.9682744781539</v>
      </c>
      <c r="W16">
        <f t="shared" si="3"/>
        <v>742.73677866772925</v>
      </c>
      <c r="X16">
        <v>700.41371764839778</v>
      </c>
      <c r="Y16">
        <v>685.55335568967473</v>
      </c>
    </row>
    <row r="17" spans="1:25" x14ac:dyDescent="0.35">
      <c r="A17">
        <v>2023</v>
      </c>
      <c r="B17" s="4">
        <v>474</v>
      </c>
      <c r="C17" s="4">
        <f t="shared" si="5"/>
        <v>50.850959017305215</v>
      </c>
      <c r="D17" s="4">
        <f t="shared" si="0"/>
        <v>41.5</v>
      </c>
      <c r="E17" s="4">
        <v>104</v>
      </c>
      <c r="F17" s="4">
        <v>35</v>
      </c>
      <c r="G17" s="4">
        <v>654</v>
      </c>
      <c r="H17" s="4">
        <v>23</v>
      </c>
      <c r="I17" s="4">
        <v>58</v>
      </c>
      <c r="J17" s="2">
        <f t="shared" si="1"/>
        <v>748.65053530726095</v>
      </c>
      <c r="K17" s="4">
        <v>131.89467495113539</v>
      </c>
      <c r="L17" s="4">
        <v>96</v>
      </c>
      <c r="M17" s="4">
        <v>83.427354637766371</v>
      </c>
      <c r="N17" s="4">
        <v>0</v>
      </c>
      <c r="O17" s="2">
        <f t="shared" si="2"/>
        <v>868.2961104671341</v>
      </c>
      <c r="P17" s="2">
        <v>6.5</v>
      </c>
      <c r="Q17">
        <f t="shared" si="6"/>
        <v>95</v>
      </c>
      <c r="R17" s="2">
        <v>5164.2717536350629</v>
      </c>
      <c r="S17" s="2">
        <v>5917.1893935586286</v>
      </c>
      <c r="T17" s="3">
        <v>23</v>
      </c>
      <c r="U17">
        <v>5297.1994191760305</v>
      </c>
      <c r="V17">
        <v>4762.5458787217331</v>
      </c>
      <c r="W17">
        <f t="shared" si="3"/>
        <v>756.81257905285838</v>
      </c>
      <c r="X17">
        <v>717.12146917612813</v>
      </c>
      <c r="Y17">
        <v>693.92845990907188</v>
      </c>
    </row>
    <row r="18" spans="1:25" x14ac:dyDescent="0.35">
      <c r="A18">
        <v>2024</v>
      </c>
      <c r="B18" s="4">
        <v>474</v>
      </c>
      <c r="C18" s="4">
        <f t="shared" si="5"/>
        <v>50.850959017305215</v>
      </c>
      <c r="D18" s="4">
        <f t="shared" si="0"/>
        <v>41.5</v>
      </c>
      <c r="E18" s="4">
        <v>104</v>
      </c>
      <c r="F18" s="4">
        <v>35</v>
      </c>
      <c r="G18" s="4">
        <v>665</v>
      </c>
      <c r="H18" s="4">
        <v>33</v>
      </c>
      <c r="I18" s="4">
        <v>58</v>
      </c>
      <c r="J18" s="2">
        <f t="shared" si="1"/>
        <v>754.28560081905277</v>
      </c>
      <c r="K18" s="4">
        <v>131.89467495113539</v>
      </c>
      <c r="L18" s="4">
        <v>96</v>
      </c>
      <c r="M18" s="4">
        <v>83.427354637766371</v>
      </c>
      <c r="N18" s="4">
        <f>175/2</f>
        <v>87.5</v>
      </c>
      <c r="O18" s="2">
        <f t="shared" si="2"/>
        <v>911.1943565578913</v>
      </c>
      <c r="P18" s="2">
        <v>6.5</v>
      </c>
      <c r="Q18">
        <f t="shared" si="6"/>
        <v>95</v>
      </c>
      <c r="R18" s="2">
        <v>5199.7326573942173</v>
      </c>
      <c r="S18" s="2">
        <v>6187.1437663831548</v>
      </c>
      <c r="T18" s="3">
        <v>23</v>
      </c>
      <c r="U18">
        <v>5383.5317546436618</v>
      </c>
      <c r="V18">
        <v>4923.9182074023784</v>
      </c>
      <c r="W18">
        <f t="shared" si="3"/>
        <v>782.45613427869159</v>
      </c>
      <c r="X18">
        <v>735.98657110867941</v>
      </c>
      <c r="Y18">
        <v>702.504706114123</v>
      </c>
    </row>
    <row r="19" spans="1:25" x14ac:dyDescent="0.35">
      <c r="A19">
        <v>2025</v>
      </c>
      <c r="B19" s="4">
        <v>474</v>
      </c>
      <c r="C19" s="4">
        <f t="shared" si="5"/>
        <v>50.850959017305215</v>
      </c>
      <c r="D19" s="4">
        <f t="shared" si="0"/>
        <v>41.5</v>
      </c>
      <c r="E19" s="4">
        <v>104</v>
      </c>
      <c r="F19" s="4">
        <v>35</v>
      </c>
      <c r="G19" s="4">
        <v>674</v>
      </c>
      <c r="H19" s="4">
        <v>43</v>
      </c>
      <c r="I19" s="4">
        <v>58</v>
      </c>
      <c r="J19" s="2">
        <f t="shared" si="1"/>
        <v>762.53001607609542</v>
      </c>
      <c r="K19" s="4">
        <v>131.89467495113539</v>
      </c>
      <c r="L19" s="4">
        <v>96</v>
      </c>
      <c r="M19" s="4">
        <v>83.427354637766371</v>
      </c>
      <c r="N19" s="4">
        <v>174.80017162198666</v>
      </c>
      <c r="O19" s="2">
        <f t="shared" si="2"/>
        <v>946.24914395579538</v>
      </c>
      <c r="P19" s="2">
        <v>6.5</v>
      </c>
      <c r="Q19">
        <f t="shared" si="6"/>
        <v>95</v>
      </c>
      <c r="R19" s="2">
        <v>5251.6139381652611</v>
      </c>
      <c r="S19" s="2">
        <v>6407.7400379994251</v>
      </c>
      <c r="T19" s="3">
        <v>23</v>
      </c>
      <c r="U19">
        <v>5471.678620460887</v>
      </c>
      <c r="V19">
        <v>5116.7624154781124</v>
      </c>
      <c r="W19">
        <f t="shared" si="3"/>
        <v>813.10086215864101</v>
      </c>
      <c r="X19">
        <v>759.13165011249907</v>
      </c>
      <c r="Y19">
        <v>713.88308616898564</v>
      </c>
    </row>
    <row r="20" spans="1:25" x14ac:dyDescent="0.35">
      <c r="A20">
        <v>2026</v>
      </c>
      <c r="B20" s="4">
        <v>474</v>
      </c>
      <c r="C20" s="4">
        <f t="shared" si="5"/>
        <v>50.850959017305215</v>
      </c>
      <c r="D20" s="4">
        <f t="shared" si="0"/>
        <v>41.5</v>
      </c>
      <c r="E20" s="4">
        <v>104</v>
      </c>
      <c r="F20" s="4">
        <v>35</v>
      </c>
      <c r="G20" s="4">
        <v>695</v>
      </c>
      <c r="H20" s="4">
        <v>64</v>
      </c>
      <c r="I20" s="4">
        <v>58</v>
      </c>
      <c r="J20" s="2">
        <f t="shared" si="1"/>
        <v>773.75230623039329</v>
      </c>
      <c r="K20" s="4">
        <v>131.89467495113539</v>
      </c>
      <c r="L20" s="4">
        <v>96</v>
      </c>
      <c r="M20" s="4">
        <v>83.427354637766371</v>
      </c>
      <c r="N20" s="4">
        <v>174.80017162198666</v>
      </c>
      <c r="O20" s="2">
        <f t="shared" si="2"/>
        <v>986.611785412475</v>
      </c>
      <c r="P20" s="2">
        <v>6.5</v>
      </c>
      <c r="Q20">
        <f t="shared" si="6"/>
        <v>95</v>
      </c>
      <c r="R20" s="2">
        <v>5322.2346878772423</v>
      </c>
      <c r="S20" s="2">
        <v>6661.7381044221647</v>
      </c>
      <c r="T20" s="3">
        <v>23</v>
      </c>
      <c r="U20">
        <v>5581.200208550219</v>
      </c>
      <c r="V20">
        <v>5273.0193442672798</v>
      </c>
      <c r="W20">
        <f t="shared" si="3"/>
        <v>837.93153303997826</v>
      </c>
      <c r="X20">
        <v>780.09805379163186</v>
      </c>
      <c r="Y20">
        <v>719.96335951971264</v>
      </c>
    </row>
    <row r="21" spans="1:25" x14ac:dyDescent="0.35">
      <c r="A21">
        <v>2027</v>
      </c>
      <c r="B21" s="4">
        <v>474</v>
      </c>
      <c r="C21" s="4">
        <f t="shared" si="5"/>
        <v>50.850959017305215</v>
      </c>
      <c r="D21" s="4">
        <f t="shared" si="0"/>
        <v>41.5</v>
      </c>
      <c r="E21" s="4">
        <v>104</v>
      </c>
      <c r="F21" s="4">
        <v>35</v>
      </c>
      <c r="G21" s="4">
        <v>712</v>
      </c>
      <c r="H21" s="4">
        <v>80</v>
      </c>
      <c r="I21" s="4">
        <v>58</v>
      </c>
      <c r="J21" s="2">
        <f t="shared" si="1"/>
        <v>782.17980117560433</v>
      </c>
      <c r="K21" s="4">
        <v>131.89467495113539</v>
      </c>
      <c r="L21" s="4">
        <v>96</v>
      </c>
      <c r="M21" s="4">
        <v>83.427354637766371</v>
      </c>
      <c r="N21" s="4">
        <v>174.80017162198666</v>
      </c>
      <c r="O21" s="2">
        <f t="shared" si="2"/>
        <v>1017.1727517891582</v>
      </c>
      <c r="P21" s="2">
        <v>6.5</v>
      </c>
      <c r="Q21">
        <f t="shared" si="6"/>
        <v>95</v>
      </c>
      <c r="R21" s="2">
        <v>5375.2680708179605</v>
      </c>
      <c r="S21" s="2">
        <v>6854.0552097339933</v>
      </c>
      <c r="T21" s="3">
        <v>23</v>
      </c>
      <c r="U21">
        <v>5665.8024414459314</v>
      </c>
      <c r="V21">
        <v>5383.1211260962673</v>
      </c>
      <c r="W21">
        <f t="shared" si="3"/>
        <v>855.42772427597242</v>
      </c>
      <c r="X21">
        <v>806.75425743327025</v>
      </c>
      <c r="Y21">
        <v>731.45865087553307</v>
      </c>
    </row>
    <row r="22" spans="1:25" x14ac:dyDescent="0.35">
      <c r="A22">
        <v>2028</v>
      </c>
      <c r="B22" s="4">
        <v>474</v>
      </c>
      <c r="C22" s="4">
        <f t="shared" si="5"/>
        <v>50.850959017305215</v>
      </c>
      <c r="D22" s="4">
        <f t="shared" si="0"/>
        <v>41.5</v>
      </c>
      <c r="E22" s="4">
        <v>104</v>
      </c>
      <c r="F22" s="4">
        <v>35</v>
      </c>
      <c r="G22" s="4">
        <v>725</v>
      </c>
      <c r="H22" s="4">
        <v>94</v>
      </c>
      <c r="I22" s="4">
        <v>58</v>
      </c>
      <c r="J22" s="2">
        <f t="shared" si="1"/>
        <v>791.51151188073197</v>
      </c>
      <c r="K22" s="4">
        <v>131.89467495113539</v>
      </c>
      <c r="L22" s="4">
        <v>96</v>
      </c>
      <c r="M22" s="4">
        <v>83.427354637766371</v>
      </c>
      <c r="N22" s="4">
        <v>174.80017162198666</v>
      </c>
      <c r="O22" s="2">
        <f t="shared" si="2"/>
        <v>1049.6440275941554</v>
      </c>
      <c r="P22" s="2">
        <v>6.5</v>
      </c>
      <c r="Q22">
        <f t="shared" si="6"/>
        <v>95</v>
      </c>
      <c r="R22" s="2">
        <v>5433.9915931142586</v>
      </c>
      <c r="S22" s="2">
        <v>7058.3937012472616</v>
      </c>
      <c r="T22" s="3">
        <v>23</v>
      </c>
      <c r="U22">
        <v>5752.9743841387444</v>
      </c>
      <c r="V22">
        <v>5414.0936785935601</v>
      </c>
      <c r="W22">
        <f t="shared" si="3"/>
        <v>860.34954926878856</v>
      </c>
      <c r="X22">
        <v>825.15606925499924</v>
      </c>
      <c r="Y22">
        <v>740.62329181414623</v>
      </c>
    </row>
    <row r="23" spans="1:25" x14ac:dyDescent="0.35">
      <c r="A23">
        <v>2029</v>
      </c>
      <c r="B23" s="4">
        <v>474</v>
      </c>
      <c r="C23" s="4">
        <f t="shared" si="5"/>
        <v>50.850959017305215</v>
      </c>
      <c r="D23" s="4">
        <f t="shared" si="0"/>
        <v>41.5</v>
      </c>
      <c r="E23" s="4">
        <v>104</v>
      </c>
      <c r="F23" s="4">
        <v>35</v>
      </c>
      <c r="G23" s="4">
        <v>737</v>
      </c>
      <c r="H23" s="4">
        <v>106</v>
      </c>
      <c r="I23" s="4">
        <v>58</v>
      </c>
      <c r="J23" s="2">
        <f t="shared" si="1"/>
        <v>812.30425895711846</v>
      </c>
      <c r="K23" s="4">
        <v>131.89467495113539</v>
      </c>
      <c r="L23" s="4">
        <v>96</v>
      </c>
      <c r="M23" s="4">
        <v>83.427354637766371</v>
      </c>
      <c r="N23" s="4">
        <v>174.80017162198666</v>
      </c>
      <c r="O23" s="2">
        <f t="shared" si="2"/>
        <v>1077.5188156411691</v>
      </c>
      <c r="P23" s="2">
        <v>6.5</v>
      </c>
      <c r="Q23">
        <f t="shared" si="6"/>
        <v>95</v>
      </c>
      <c r="R23" s="2">
        <v>5564.8382711912509</v>
      </c>
      <c r="S23" s="2">
        <v>7233.8069549483134</v>
      </c>
      <c r="T23" s="3">
        <v>23</v>
      </c>
      <c r="U23">
        <v>5782.6969819526639</v>
      </c>
      <c r="V23">
        <v>5497.8603149166056</v>
      </c>
      <c r="W23">
        <f t="shared" si="3"/>
        <v>873.66084236466577</v>
      </c>
      <c r="X23">
        <v>840.97652936520899</v>
      </c>
      <c r="Y23">
        <v>748.37601790693418</v>
      </c>
    </row>
    <row r="24" spans="1:25" x14ac:dyDescent="0.35">
      <c r="A24">
        <v>2030</v>
      </c>
      <c r="B24" s="4">
        <v>474</v>
      </c>
      <c r="C24" s="4">
        <f t="shared" si="5"/>
        <v>50.850959017305215</v>
      </c>
      <c r="D24" s="4">
        <f t="shared" si="0"/>
        <v>41.5</v>
      </c>
      <c r="E24" s="4">
        <v>104</v>
      </c>
      <c r="F24" s="4">
        <v>35</v>
      </c>
      <c r="G24" s="4">
        <v>750</v>
      </c>
      <c r="H24" s="4">
        <v>119</v>
      </c>
      <c r="I24" s="4">
        <v>58</v>
      </c>
      <c r="J24" s="2">
        <f t="shared" si="1"/>
        <v>831.93654475978815</v>
      </c>
      <c r="K24" s="4">
        <v>131.89467495113539</v>
      </c>
      <c r="L24" s="4">
        <v>96</v>
      </c>
      <c r="M24" s="4">
        <v>83.427354637766371</v>
      </c>
      <c r="N24" s="4">
        <v>174.80017162198666</v>
      </c>
      <c r="O24" s="2">
        <f t="shared" si="2"/>
        <v>1112.7314145312898</v>
      </c>
      <c r="P24" s="2">
        <v>6.5</v>
      </c>
      <c r="Q24">
        <f t="shared" si="6"/>
        <v>95</v>
      </c>
      <c r="R24" s="2">
        <v>5688.3822825188709</v>
      </c>
      <c r="S24" s="2">
        <v>7455.3963185039547</v>
      </c>
      <c r="T24" s="3">
        <v>23</v>
      </c>
      <c r="U24">
        <v>5866.7319036296303</v>
      </c>
      <c r="V24">
        <v>5614.8825724355775</v>
      </c>
      <c r="W24">
        <f t="shared" si="3"/>
        <v>892.25676118094634</v>
      </c>
      <c r="X24">
        <v>853.91553913634368</v>
      </c>
      <c r="Y24">
        <v>754.07162434928046</v>
      </c>
    </row>
    <row r="25" spans="1:25" x14ac:dyDescent="0.35">
      <c r="A25">
        <v>2031</v>
      </c>
      <c r="B25" s="4">
        <v>474</v>
      </c>
      <c r="C25" s="4">
        <f t="shared" si="5"/>
        <v>50.850959017305215</v>
      </c>
      <c r="D25" s="4">
        <f t="shared" si="0"/>
        <v>41.5</v>
      </c>
      <c r="E25" s="4">
        <v>104</v>
      </c>
      <c r="F25" s="4">
        <v>35</v>
      </c>
      <c r="G25" s="4">
        <v>762</v>
      </c>
      <c r="H25" s="4">
        <v>130</v>
      </c>
      <c r="I25" s="4">
        <v>58</v>
      </c>
      <c r="J25" s="2">
        <f t="shared" si="1"/>
        <v>850.90600027754601</v>
      </c>
      <c r="K25" s="4">
        <v>131.89467495113539</v>
      </c>
      <c r="L25" s="4">
        <v>96</v>
      </c>
      <c r="M25" s="4">
        <v>83.427354637766371</v>
      </c>
      <c r="N25" s="4">
        <v>174.80017162198666</v>
      </c>
      <c r="P25" s="2">
        <v>6.5</v>
      </c>
      <c r="Q25">
        <f t="shared" si="6"/>
        <v>95</v>
      </c>
      <c r="R25">
        <v>5807.7551691465696</v>
      </c>
      <c r="T25" s="3">
        <v>23</v>
      </c>
      <c r="U25">
        <v>5949.4697874442982</v>
      </c>
      <c r="V25">
        <v>5741.2154942469524</v>
      </c>
      <c r="W25">
        <f t="shared" si="3"/>
        <v>912.33223064834215</v>
      </c>
      <c r="X25">
        <v>868.03837490385808</v>
      </c>
      <c r="Y25">
        <v>760.15432236668187</v>
      </c>
    </row>
    <row r="26" spans="1:25" x14ac:dyDescent="0.35">
      <c r="A26">
        <v>2032</v>
      </c>
      <c r="B26" s="4">
        <v>474</v>
      </c>
      <c r="C26" s="4">
        <f t="shared" si="5"/>
        <v>50.850959017305215</v>
      </c>
      <c r="D26" s="4">
        <f t="shared" si="0"/>
        <v>41.5</v>
      </c>
      <c r="E26" s="4">
        <v>104</v>
      </c>
      <c r="F26" s="4">
        <v>35</v>
      </c>
      <c r="G26" s="4">
        <v>770</v>
      </c>
      <c r="H26" s="4">
        <v>139</v>
      </c>
      <c r="I26" s="4">
        <v>58</v>
      </c>
      <c r="J26" s="2">
        <f t="shared" si="1"/>
        <v>864.33004565053795</v>
      </c>
      <c r="K26" s="4">
        <v>131.89467495113539</v>
      </c>
      <c r="L26" s="4">
        <v>96</v>
      </c>
      <c r="M26" s="4">
        <v>83.427354637766371</v>
      </c>
      <c r="N26" s="4">
        <v>174.80017162198666</v>
      </c>
      <c r="P26" s="2">
        <v>6.5</v>
      </c>
      <c r="Q26">
        <f t="shared" si="6"/>
        <v>95</v>
      </c>
      <c r="R26">
        <v>5892.2313442742707</v>
      </c>
      <c r="T26" s="3">
        <v>23</v>
      </c>
      <c r="U26">
        <v>6023.06040124012</v>
      </c>
      <c r="V26">
        <v>5802.2368705054132</v>
      </c>
      <c r="W26">
        <f t="shared" si="3"/>
        <v>922.02909159615012</v>
      </c>
      <c r="X26">
        <v>874.21243199352443</v>
      </c>
      <c r="Y26">
        <v>760.92372525285293</v>
      </c>
    </row>
    <row r="27" spans="1:25" x14ac:dyDescent="0.35">
      <c r="A27">
        <v>2033</v>
      </c>
      <c r="B27" s="4">
        <v>474</v>
      </c>
      <c r="C27" s="4">
        <f t="shared" si="5"/>
        <v>50.850959017305215</v>
      </c>
      <c r="D27" s="4">
        <f t="shared" si="0"/>
        <v>41.5</v>
      </c>
      <c r="E27" s="4">
        <v>104</v>
      </c>
      <c r="F27" s="4">
        <v>35</v>
      </c>
      <c r="G27" s="4">
        <v>778</v>
      </c>
      <c r="H27" s="4">
        <v>147</v>
      </c>
      <c r="I27" s="4">
        <v>58</v>
      </c>
      <c r="J27" s="2">
        <f t="shared" si="1"/>
        <v>881.59723614953919</v>
      </c>
      <c r="K27" s="4">
        <v>131.89467495113539</v>
      </c>
      <c r="L27" s="4">
        <v>96</v>
      </c>
      <c r="M27" s="4">
        <v>83.427354637766371</v>
      </c>
      <c r="N27" s="4">
        <v>174.80017162198666</v>
      </c>
      <c r="P27" s="2">
        <v>6.5</v>
      </c>
      <c r="Q27">
        <f t="shared" si="6"/>
        <v>95</v>
      </c>
      <c r="R27">
        <v>6000.8920473654352</v>
      </c>
      <c r="T27" s="3">
        <v>23</v>
      </c>
      <c r="U27">
        <v>6139.251661133625</v>
      </c>
      <c r="V27">
        <v>5934.2647217112217</v>
      </c>
      <c r="W27">
        <f t="shared" si="3"/>
        <v>943.0095380049296</v>
      </c>
      <c r="X27">
        <v>895.96606071221072</v>
      </c>
      <c r="Y27">
        <v>773.3543198841104</v>
      </c>
    </row>
    <row r="28" spans="1:25" x14ac:dyDescent="0.35">
      <c r="A28">
        <v>2034</v>
      </c>
      <c r="B28" s="4">
        <v>474</v>
      </c>
      <c r="C28" s="4">
        <f t="shared" si="5"/>
        <v>50.850959017305215</v>
      </c>
      <c r="D28" s="4">
        <f t="shared" si="0"/>
        <v>41.5</v>
      </c>
      <c r="E28" s="4">
        <v>104</v>
      </c>
      <c r="F28" s="4">
        <v>35</v>
      </c>
      <c r="G28" s="4">
        <v>787</v>
      </c>
      <c r="H28" s="4">
        <v>155</v>
      </c>
      <c r="I28" s="4">
        <v>58</v>
      </c>
      <c r="J28" s="2">
        <f t="shared" si="1"/>
        <v>896.22213971703957</v>
      </c>
      <c r="K28" s="4">
        <v>131.89467495113539</v>
      </c>
      <c r="L28" s="4">
        <v>96</v>
      </c>
      <c r="M28" s="4">
        <v>83.427354637766371</v>
      </c>
      <c r="N28" s="4">
        <v>174.80017162198666</v>
      </c>
      <c r="P28" s="2">
        <v>6.5</v>
      </c>
      <c r="Q28">
        <f t="shared" si="6"/>
        <v>95</v>
      </c>
      <c r="R28">
        <v>6092.925103025359</v>
      </c>
      <c r="T28" s="3">
        <v>23</v>
      </c>
      <c r="U28">
        <v>6254.0171404416105</v>
      </c>
      <c r="V28">
        <v>5994.6236424255194</v>
      </c>
      <c r="W28">
        <f t="shared" si="3"/>
        <v>952.60112864109055</v>
      </c>
      <c r="X28">
        <v>911.82227865494519</v>
      </c>
      <c r="Y28">
        <v>782.81205390326363</v>
      </c>
    </row>
    <row r="29" spans="1:25" x14ac:dyDescent="0.35">
      <c r="A29">
        <v>2035</v>
      </c>
      <c r="B29" s="4">
        <v>474</v>
      </c>
      <c r="C29" s="4">
        <f t="shared" si="5"/>
        <v>50.850959017305215</v>
      </c>
      <c r="D29" s="4">
        <f t="shared" si="0"/>
        <v>41.5</v>
      </c>
      <c r="E29" s="4">
        <v>104</v>
      </c>
      <c r="F29" s="4">
        <v>35</v>
      </c>
      <c r="G29" s="4">
        <v>794</v>
      </c>
      <c r="H29" s="4">
        <v>163</v>
      </c>
      <c r="I29" s="4">
        <v>58</v>
      </c>
      <c r="J29" s="2">
        <f t="shared" si="1"/>
        <v>906.35843741727228</v>
      </c>
      <c r="K29" s="4">
        <v>131.89467495113539</v>
      </c>
      <c r="L29" s="4">
        <v>96</v>
      </c>
      <c r="M29" s="4">
        <v>83.427354637766371</v>
      </c>
      <c r="N29" s="4">
        <v>174.80017162198666</v>
      </c>
      <c r="P29" s="2">
        <v>6.5</v>
      </c>
      <c r="Q29">
        <f t="shared" si="6"/>
        <v>95</v>
      </c>
      <c r="R29">
        <v>6156.7118108231534</v>
      </c>
      <c r="T29" s="3">
        <v>23</v>
      </c>
      <c r="U29">
        <v>6335.6010422137506</v>
      </c>
      <c r="V29">
        <v>6001.8983040228695</v>
      </c>
      <c r="W29">
        <f t="shared" si="3"/>
        <v>953.75713963718943</v>
      </c>
      <c r="X29">
        <v>916.56946586206118</v>
      </c>
      <c r="Y29">
        <v>783.35163911678001</v>
      </c>
    </row>
    <row r="30" spans="1:25" x14ac:dyDescent="0.35">
      <c r="A30">
        <v>2036</v>
      </c>
      <c r="B30" s="4">
        <v>474</v>
      </c>
      <c r="C30" s="4">
        <f t="shared" si="5"/>
        <v>50.850959017305215</v>
      </c>
      <c r="D30" s="4">
        <f t="shared" si="0"/>
        <v>41.5</v>
      </c>
      <c r="E30" s="4">
        <v>104</v>
      </c>
      <c r="F30" s="4">
        <v>35</v>
      </c>
      <c r="G30" s="4">
        <v>799</v>
      </c>
      <c r="H30" s="4">
        <v>168</v>
      </c>
      <c r="I30" s="4">
        <v>58</v>
      </c>
      <c r="K30" s="4">
        <v>131.89467495113539</v>
      </c>
      <c r="L30" s="4">
        <v>96</v>
      </c>
      <c r="M30" s="4">
        <v>83.427354637766371</v>
      </c>
      <c r="N30" s="4">
        <v>174.80017162198666</v>
      </c>
      <c r="P30" s="2">
        <v>6.5</v>
      </c>
      <c r="Q30">
        <f t="shared" si="6"/>
        <v>95</v>
      </c>
      <c r="T30" s="3">
        <v>23</v>
      </c>
      <c r="V30">
        <v>5996.0388031581751</v>
      </c>
      <c r="W30">
        <f t="shared" si="3"/>
        <v>952.82601076740048</v>
      </c>
      <c r="X30">
        <v>916.3407085631568</v>
      </c>
      <c r="Y30">
        <v>774.9848209933624</v>
      </c>
    </row>
    <row r="31" spans="1:25" x14ac:dyDescent="0.35">
      <c r="A31">
        <v>2037</v>
      </c>
      <c r="B31" s="4">
        <v>474</v>
      </c>
      <c r="C31" s="4">
        <f t="shared" si="5"/>
        <v>50.850959017305215</v>
      </c>
      <c r="D31" s="4">
        <f t="shared" si="0"/>
        <v>41.5</v>
      </c>
      <c r="E31" s="4">
        <v>104</v>
      </c>
      <c r="F31" s="4">
        <v>35</v>
      </c>
      <c r="G31" s="4">
        <v>804</v>
      </c>
      <c r="H31" s="4">
        <v>172</v>
      </c>
      <c r="I31" s="4">
        <v>58</v>
      </c>
      <c r="K31" s="4">
        <v>131.89467495113539</v>
      </c>
      <c r="L31" s="4">
        <v>96</v>
      </c>
      <c r="M31" s="4">
        <v>83.427354637766371</v>
      </c>
      <c r="N31" s="4">
        <v>174.80017162198666</v>
      </c>
      <c r="P31" s="2">
        <v>6.5</v>
      </c>
      <c r="Q31">
        <f t="shared" si="6"/>
        <v>95</v>
      </c>
      <c r="T31" s="3">
        <v>23</v>
      </c>
      <c r="V31">
        <v>6056.22716156768</v>
      </c>
      <c r="W31">
        <f t="shared" si="3"/>
        <v>962.3904974761524</v>
      </c>
      <c r="X31">
        <v>928.20503252477533</v>
      </c>
      <c r="Y31">
        <v>773.50344977462919</v>
      </c>
    </row>
    <row r="32" spans="1:25" x14ac:dyDescent="0.35">
      <c r="A32">
        <v>2038</v>
      </c>
      <c r="B32" s="4">
        <v>474</v>
      </c>
      <c r="C32" s="4">
        <f t="shared" si="5"/>
        <v>50.850959017305215</v>
      </c>
      <c r="D32" s="4">
        <f t="shared" si="0"/>
        <v>41.5</v>
      </c>
      <c r="E32" s="4">
        <v>104</v>
      </c>
      <c r="F32" s="4">
        <v>35</v>
      </c>
      <c r="G32" s="4">
        <v>810</v>
      </c>
      <c r="H32" s="4">
        <v>178</v>
      </c>
      <c r="I32" s="4">
        <v>58</v>
      </c>
      <c r="K32" s="4">
        <v>131.89467495113539</v>
      </c>
      <c r="L32" s="4">
        <v>96</v>
      </c>
      <c r="M32" s="4">
        <v>83.427354637766371</v>
      </c>
      <c r="N32" s="4">
        <v>174.80017162198666</v>
      </c>
      <c r="P32" s="2">
        <v>6.5</v>
      </c>
      <c r="Q32">
        <f t="shared" si="6"/>
        <v>95</v>
      </c>
      <c r="T32" s="3">
        <v>23</v>
      </c>
      <c r="V32">
        <v>6083.2094285194298</v>
      </c>
      <c r="W32">
        <f t="shared" si="3"/>
        <v>966.67822919789432</v>
      </c>
      <c r="X32">
        <v>932.79349147096639</v>
      </c>
      <c r="Y32">
        <v>767.71160094211336</v>
      </c>
    </row>
    <row r="33" spans="1:25" x14ac:dyDescent="0.35">
      <c r="A33">
        <v>2039</v>
      </c>
      <c r="B33" s="4">
        <v>474</v>
      </c>
      <c r="C33" s="4">
        <f t="shared" si="5"/>
        <v>50.850959017305215</v>
      </c>
      <c r="D33" s="4">
        <f t="shared" si="0"/>
        <v>41.5</v>
      </c>
      <c r="E33" s="4">
        <v>104</v>
      </c>
      <c r="F33" s="4">
        <v>35</v>
      </c>
      <c r="G33" s="4">
        <v>815</v>
      </c>
      <c r="H33" s="4">
        <v>184</v>
      </c>
      <c r="I33" s="4">
        <v>58</v>
      </c>
      <c r="K33" s="4">
        <v>131.89467495113539</v>
      </c>
      <c r="L33" s="4">
        <v>96</v>
      </c>
      <c r="M33" s="4">
        <v>83.427354637766371</v>
      </c>
      <c r="N33" s="4">
        <v>174.80017162198666</v>
      </c>
      <c r="P33" s="2">
        <v>6.5</v>
      </c>
      <c r="Q33">
        <f t="shared" si="6"/>
        <v>95</v>
      </c>
      <c r="T33" s="3">
        <v>23</v>
      </c>
      <c r="V33">
        <v>6140.8698437862849</v>
      </c>
      <c r="W33">
        <f t="shared" si="3"/>
        <v>975.84100236556822</v>
      </c>
      <c r="X33">
        <v>941.85962735901239</v>
      </c>
      <c r="Y33">
        <v>768.65401749556361</v>
      </c>
    </row>
    <row r="34" spans="1:25" x14ac:dyDescent="0.35">
      <c r="A34">
        <v>2040</v>
      </c>
      <c r="B34" s="4">
        <v>474</v>
      </c>
      <c r="C34" s="4">
        <f t="shared" si="5"/>
        <v>50.850959017305215</v>
      </c>
      <c r="D34" s="4">
        <f t="shared" si="0"/>
        <v>41.5</v>
      </c>
      <c r="E34" s="4">
        <v>104</v>
      </c>
      <c r="F34" s="4">
        <v>35</v>
      </c>
      <c r="G34" s="4">
        <v>818</v>
      </c>
      <c r="H34" s="4">
        <v>187</v>
      </c>
      <c r="I34" s="4">
        <v>58</v>
      </c>
      <c r="J34" s="4"/>
      <c r="K34" s="4">
        <v>131.89467495113539</v>
      </c>
      <c r="L34" s="4">
        <v>96</v>
      </c>
      <c r="M34" s="4">
        <v>83.427354637766371</v>
      </c>
      <c r="N34" s="4">
        <v>174.80017162198666</v>
      </c>
      <c r="P34" s="2">
        <v>6.5</v>
      </c>
      <c r="Q34">
        <f t="shared" si="6"/>
        <v>95</v>
      </c>
      <c r="T34" s="3">
        <v>23</v>
      </c>
      <c r="V34">
        <v>6171.551297731904</v>
      </c>
      <c r="W34">
        <f t="shared" si="3"/>
        <v>980.71656910675586</v>
      </c>
      <c r="X34">
        <v>940.72079192512899</v>
      </c>
      <c r="Y34">
        <v>762.84175209557282</v>
      </c>
    </row>
    <row r="35" spans="1:25" x14ac:dyDescent="0.35">
      <c r="A35">
        <v>2041</v>
      </c>
      <c r="B35" s="4">
        <v>474</v>
      </c>
      <c r="C35" s="4">
        <f t="shared" si="5"/>
        <v>50.850959017305215</v>
      </c>
      <c r="D35" s="4">
        <f t="shared" si="0"/>
        <v>41.5</v>
      </c>
      <c r="E35" s="4">
        <v>104</v>
      </c>
      <c r="F35" s="4">
        <v>35</v>
      </c>
      <c r="G35" s="4">
        <v>818</v>
      </c>
      <c r="H35" s="4">
        <v>187</v>
      </c>
      <c r="I35" s="4">
        <v>58</v>
      </c>
      <c r="J35" s="4"/>
      <c r="K35" s="4">
        <v>131.89467495113539</v>
      </c>
      <c r="L35" s="4">
        <v>96</v>
      </c>
      <c r="M35" s="4">
        <v>83.427354637766371</v>
      </c>
      <c r="N35" s="4">
        <v>174.80017162198666</v>
      </c>
      <c r="P35" s="2">
        <v>6.5</v>
      </c>
      <c r="Q35">
        <f t="shared" ref="Q35" si="7">Q34</f>
        <v>95</v>
      </c>
      <c r="T35" s="3">
        <v>23</v>
      </c>
      <c r="X35">
        <v>944.30105875124514</v>
      </c>
      <c r="Y35">
        <v>760.54081014407041</v>
      </c>
    </row>
    <row r="36" spans="1:25" x14ac:dyDescent="0.35">
      <c r="A36">
        <v>2042</v>
      </c>
      <c r="B36" s="4">
        <v>474</v>
      </c>
      <c r="C36" s="4">
        <f t="shared" ref="C36:C44" si="8">320/6.2929</f>
        <v>50.850959017305215</v>
      </c>
      <c r="D36" s="4">
        <f t="shared" ref="D36:D44" si="9">48-6.5</f>
        <v>41.5</v>
      </c>
      <c r="E36" s="4">
        <v>104</v>
      </c>
      <c r="F36" s="4">
        <v>35</v>
      </c>
      <c r="G36" s="4">
        <v>818</v>
      </c>
      <c r="H36" s="4">
        <v>187</v>
      </c>
      <c r="I36" s="4">
        <v>58</v>
      </c>
      <c r="J36" s="4"/>
      <c r="K36" s="4">
        <v>131.89467495113539</v>
      </c>
      <c r="L36" s="4">
        <v>96</v>
      </c>
      <c r="M36" s="4">
        <v>83.427354637766371</v>
      </c>
      <c r="N36" s="4">
        <v>174.80017162198666</v>
      </c>
      <c r="P36" s="2">
        <v>6.5</v>
      </c>
      <c r="Q36">
        <f t="shared" ref="Q36" si="10">Q35</f>
        <v>95</v>
      </c>
      <c r="T36" s="3">
        <v>23</v>
      </c>
      <c r="X36">
        <v>948.17993670061651</v>
      </c>
      <c r="Y36">
        <v>756.30870253119963</v>
      </c>
    </row>
    <row r="37" spans="1:25" x14ac:dyDescent="0.35">
      <c r="A37">
        <v>2043</v>
      </c>
      <c r="B37" s="4">
        <v>474</v>
      </c>
      <c r="C37" s="4">
        <f t="shared" si="8"/>
        <v>50.850959017305215</v>
      </c>
      <c r="D37" s="4">
        <f t="shared" si="9"/>
        <v>41.5</v>
      </c>
      <c r="E37" s="4">
        <v>104</v>
      </c>
      <c r="F37" s="4">
        <v>35</v>
      </c>
      <c r="G37" s="4">
        <v>818</v>
      </c>
      <c r="H37" s="4">
        <v>187</v>
      </c>
      <c r="I37" s="4">
        <v>58</v>
      </c>
      <c r="J37" s="4"/>
      <c r="K37" s="4">
        <v>131.89467495113539</v>
      </c>
      <c r="L37" s="4">
        <v>96</v>
      </c>
      <c r="M37" s="4">
        <v>83.427354637766371</v>
      </c>
      <c r="N37" s="4">
        <v>174.80017162198666</v>
      </c>
      <c r="P37" s="2">
        <v>6.5</v>
      </c>
      <c r="Q37">
        <f t="shared" ref="Q37" si="11">Q36</f>
        <v>95</v>
      </c>
      <c r="T37" s="3">
        <v>23</v>
      </c>
      <c r="X37">
        <v>953.3995868004132</v>
      </c>
      <c r="Y37">
        <v>754.02165266602526</v>
      </c>
    </row>
    <row r="38" spans="1:25" x14ac:dyDescent="0.35">
      <c r="A38">
        <v>2044</v>
      </c>
      <c r="B38" s="4">
        <v>474</v>
      </c>
      <c r="C38" s="4">
        <f t="shared" si="8"/>
        <v>50.850959017305215</v>
      </c>
      <c r="D38" s="4">
        <f t="shared" si="9"/>
        <v>41.5</v>
      </c>
      <c r="E38" s="4">
        <v>104</v>
      </c>
      <c r="F38" s="4">
        <v>35</v>
      </c>
      <c r="G38" s="4">
        <v>818</v>
      </c>
      <c r="H38" s="4">
        <v>187</v>
      </c>
      <c r="I38" s="4">
        <v>58</v>
      </c>
      <c r="J38" s="4"/>
      <c r="K38" s="4">
        <v>131.89467495113539</v>
      </c>
      <c r="L38" s="4">
        <v>96</v>
      </c>
      <c r="M38" s="4">
        <v>83.427354637766371</v>
      </c>
      <c r="N38" s="4">
        <v>174.80017162198666</v>
      </c>
      <c r="P38" s="2">
        <v>6.5</v>
      </c>
      <c r="Q38">
        <f t="shared" ref="Q38" si="12">Q37</f>
        <v>95</v>
      </c>
      <c r="T38" s="3">
        <v>23</v>
      </c>
      <c r="X38">
        <v>957.16081100071449</v>
      </c>
      <c r="Y38">
        <v>751.58522751379155</v>
      </c>
    </row>
    <row r="39" spans="1:25" x14ac:dyDescent="0.35">
      <c r="A39">
        <v>2045</v>
      </c>
      <c r="B39" s="4">
        <v>474</v>
      </c>
      <c r="C39" s="4">
        <f t="shared" si="8"/>
        <v>50.850959017305215</v>
      </c>
      <c r="D39" s="4">
        <f t="shared" si="9"/>
        <v>41.5</v>
      </c>
      <c r="E39" s="4">
        <v>104</v>
      </c>
      <c r="F39" s="4">
        <v>35</v>
      </c>
      <c r="G39" s="4">
        <v>818</v>
      </c>
      <c r="H39" s="4">
        <v>187</v>
      </c>
      <c r="I39" s="4">
        <v>58</v>
      </c>
      <c r="J39" s="4"/>
      <c r="K39" s="4">
        <v>131.89467495113539</v>
      </c>
      <c r="L39" s="4">
        <v>96</v>
      </c>
      <c r="M39" s="4">
        <v>83.427354637766371</v>
      </c>
      <c r="N39" s="4">
        <v>174.80017162198666</v>
      </c>
      <c r="P39" s="2">
        <v>6.5</v>
      </c>
      <c r="Q39">
        <f t="shared" ref="Q39" si="13">Q38</f>
        <v>95</v>
      </c>
      <c r="T39" s="3">
        <v>23</v>
      </c>
      <c r="X39">
        <v>963.44484908196432</v>
      </c>
      <c r="Y39">
        <v>749.42953785087013</v>
      </c>
    </row>
    <row r="40" spans="1:25" x14ac:dyDescent="0.35">
      <c r="A40">
        <v>2046</v>
      </c>
      <c r="B40" s="4">
        <v>474</v>
      </c>
      <c r="C40" s="4">
        <f t="shared" si="8"/>
        <v>50.850959017305215</v>
      </c>
      <c r="D40" s="4">
        <f t="shared" si="9"/>
        <v>41.5</v>
      </c>
      <c r="E40" s="4">
        <v>104</v>
      </c>
      <c r="F40" s="4">
        <v>35</v>
      </c>
      <c r="G40" s="4">
        <v>818</v>
      </c>
      <c r="H40" s="4">
        <v>187</v>
      </c>
      <c r="I40" s="4">
        <v>58</v>
      </c>
      <c r="J40" s="4"/>
      <c r="K40" s="4">
        <v>131.89467495113539</v>
      </c>
      <c r="L40" s="4">
        <v>96</v>
      </c>
      <c r="M40" s="4">
        <v>83.427354637766371</v>
      </c>
      <c r="N40" s="4">
        <v>174.80017162198666</v>
      </c>
      <c r="P40" s="2">
        <v>6.5</v>
      </c>
      <c r="Q40">
        <f t="shared" ref="Q40" si="14">Q39</f>
        <v>95</v>
      </c>
      <c r="T40" s="3">
        <v>23</v>
      </c>
      <c r="X40">
        <v>967.98262625553946</v>
      </c>
      <c r="Y40">
        <v>744.97725191479344</v>
      </c>
    </row>
    <row r="41" spans="1:25" x14ac:dyDescent="0.35">
      <c r="A41">
        <v>2047</v>
      </c>
      <c r="B41" s="4">
        <v>474</v>
      </c>
      <c r="C41" s="4">
        <f t="shared" si="8"/>
        <v>50.850959017305215</v>
      </c>
      <c r="D41" s="4">
        <f t="shared" si="9"/>
        <v>41.5</v>
      </c>
      <c r="E41" s="4">
        <v>104</v>
      </c>
      <c r="F41" s="4">
        <v>35</v>
      </c>
      <c r="G41" s="4">
        <v>818</v>
      </c>
      <c r="H41" s="4">
        <v>187</v>
      </c>
      <c r="I41" s="4">
        <v>58</v>
      </c>
      <c r="J41" s="4"/>
      <c r="K41" s="4">
        <v>131.89467495113539</v>
      </c>
      <c r="L41" s="4">
        <v>96</v>
      </c>
      <c r="M41" s="4">
        <v>83.427354637766371</v>
      </c>
      <c r="N41" s="4">
        <v>174.80017162198666</v>
      </c>
      <c r="P41" s="2">
        <v>6.5</v>
      </c>
      <c r="Q41">
        <f t="shared" ref="Q41" si="15">Q40</f>
        <v>95</v>
      </c>
      <c r="T41" s="3">
        <v>23</v>
      </c>
      <c r="X41">
        <v>970.91528046202734</v>
      </c>
      <c r="Y41">
        <v>740.49318549966688</v>
      </c>
    </row>
    <row r="42" spans="1:25" x14ac:dyDescent="0.35">
      <c r="A42">
        <v>2048</v>
      </c>
      <c r="B42" s="4">
        <v>474</v>
      </c>
      <c r="C42" s="4">
        <f t="shared" si="8"/>
        <v>50.850959017305215</v>
      </c>
      <c r="D42" s="4">
        <f t="shared" si="9"/>
        <v>41.5</v>
      </c>
      <c r="E42" s="4">
        <v>104</v>
      </c>
      <c r="F42" s="4">
        <v>35</v>
      </c>
      <c r="G42" s="4">
        <v>818</v>
      </c>
      <c r="H42" s="4">
        <v>187</v>
      </c>
      <c r="I42" s="4">
        <v>58</v>
      </c>
      <c r="J42" s="4"/>
      <c r="K42" s="4">
        <v>131.89467495113539</v>
      </c>
      <c r="L42" s="4">
        <v>96</v>
      </c>
      <c r="M42" s="4">
        <v>83.427354637766371</v>
      </c>
      <c r="N42" s="4">
        <v>174.80017162198666</v>
      </c>
      <c r="P42" s="2">
        <v>6.5</v>
      </c>
      <c r="Q42">
        <f t="shared" ref="Q42" si="16">Q41</f>
        <v>95</v>
      </c>
      <c r="T42" s="3">
        <v>23</v>
      </c>
      <c r="X42">
        <v>969.11631179561391</v>
      </c>
      <c r="Y42">
        <v>733.81335738092696</v>
      </c>
    </row>
    <row r="43" spans="1:25" x14ac:dyDescent="0.35">
      <c r="A43">
        <v>2049</v>
      </c>
      <c r="B43" s="4">
        <v>474</v>
      </c>
      <c r="C43" s="4">
        <f t="shared" si="8"/>
        <v>50.850959017305215</v>
      </c>
      <c r="D43" s="4">
        <f t="shared" si="9"/>
        <v>41.5</v>
      </c>
      <c r="E43" s="4">
        <v>104</v>
      </c>
      <c r="F43" s="4">
        <v>35</v>
      </c>
      <c r="G43" s="4">
        <v>818</v>
      </c>
      <c r="H43" s="4">
        <v>187</v>
      </c>
      <c r="I43" s="4">
        <v>58</v>
      </c>
      <c r="J43" s="4"/>
      <c r="K43" s="4">
        <v>131.89467495113539</v>
      </c>
      <c r="L43" s="4">
        <v>96</v>
      </c>
      <c r="M43" s="4">
        <v>83.427354637766371</v>
      </c>
      <c r="N43" s="4">
        <v>174.80017162198666</v>
      </c>
      <c r="P43" s="2">
        <v>6.5</v>
      </c>
      <c r="Q43">
        <f t="shared" ref="Q43" si="17">Q42</f>
        <v>95</v>
      </c>
      <c r="T43" s="3">
        <v>23</v>
      </c>
      <c r="X43">
        <v>973.27277838388511</v>
      </c>
      <c r="Y43">
        <v>731.46122535346865</v>
      </c>
    </row>
    <row r="44" spans="1:25" x14ac:dyDescent="0.35">
      <c r="A44">
        <v>2050</v>
      </c>
      <c r="B44" s="4">
        <v>474</v>
      </c>
      <c r="C44" s="4">
        <f t="shared" si="8"/>
        <v>50.850959017305215</v>
      </c>
      <c r="D44" s="4">
        <f t="shared" si="9"/>
        <v>41.5</v>
      </c>
      <c r="E44" s="4">
        <v>104</v>
      </c>
      <c r="F44" s="4">
        <v>35</v>
      </c>
      <c r="G44" s="4">
        <v>818</v>
      </c>
      <c r="H44" s="4">
        <v>187</v>
      </c>
      <c r="I44" s="4">
        <v>58</v>
      </c>
      <c r="J44" s="4"/>
      <c r="K44" s="4">
        <v>131.89467495113539</v>
      </c>
      <c r="L44" s="4">
        <v>96</v>
      </c>
      <c r="M44" s="4">
        <v>83.427354637766371</v>
      </c>
      <c r="N44" s="4">
        <v>174.80017162198666</v>
      </c>
      <c r="P44" s="2">
        <v>6.5</v>
      </c>
      <c r="Q44">
        <f t="shared" ref="Q44" si="18">Q43</f>
        <v>95</v>
      </c>
      <c r="T44" s="3">
        <v>23</v>
      </c>
      <c r="X44">
        <v>972.66075480571885</v>
      </c>
      <c r="Y44">
        <v>726.90248235449246</v>
      </c>
    </row>
    <row r="45" spans="1:25" x14ac:dyDescent="0.35">
      <c r="K45" s="4"/>
      <c r="L45" s="4"/>
      <c r="M45" s="4"/>
      <c r="N45" s="4"/>
    </row>
    <row r="46" spans="1:25" x14ac:dyDescent="0.35">
      <c r="K46" s="4"/>
      <c r="L46" s="4"/>
      <c r="M46" s="4"/>
      <c r="N46" s="4"/>
    </row>
    <row r="47" spans="1:25" x14ac:dyDescent="0.35">
      <c r="K47" s="4"/>
      <c r="L47" s="4"/>
      <c r="M47" s="4"/>
      <c r="N47" s="4"/>
    </row>
    <row r="48" spans="1:25" x14ac:dyDescent="0.35">
      <c r="K48" s="4"/>
      <c r="L48" s="4"/>
      <c r="M48" s="4"/>
      <c r="N48" s="4"/>
    </row>
    <row r="49" spans="11:14" x14ac:dyDescent="0.35">
      <c r="K49" s="4"/>
      <c r="L49" s="4"/>
      <c r="M49" s="4"/>
      <c r="N49" s="4"/>
    </row>
    <row r="50" spans="11:14" x14ac:dyDescent="0.35">
      <c r="K50" s="4"/>
      <c r="L50" s="4"/>
      <c r="M50" s="4"/>
      <c r="N50" s="4"/>
    </row>
    <row r="51" spans="11:14" x14ac:dyDescent="0.35">
      <c r="K51" s="4"/>
      <c r="L51" s="4"/>
      <c r="M51" s="4"/>
      <c r="N51" s="4"/>
    </row>
    <row r="52" spans="11:14" x14ac:dyDescent="0.35">
      <c r="K52" s="4"/>
      <c r="L52" s="4"/>
      <c r="M52" s="4"/>
      <c r="N52" s="4"/>
    </row>
    <row r="53" spans="11:14" x14ac:dyDescent="0.35">
      <c r="K53" s="4"/>
      <c r="L53" s="4"/>
      <c r="M53" s="4"/>
      <c r="N53" s="4"/>
    </row>
    <row r="54" spans="11:14" x14ac:dyDescent="0.35">
      <c r="K54" s="4"/>
      <c r="L54" s="4"/>
      <c r="M54" s="4"/>
      <c r="N54" s="4"/>
    </row>
    <row r="55" spans="11:14" x14ac:dyDescent="0.35">
      <c r="K55" s="4"/>
      <c r="L55" s="4"/>
      <c r="M55" s="4"/>
      <c r="N55" s="4"/>
    </row>
    <row r="56" spans="11:14" x14ac:dyDescent="0.35">
      <c r="K56" s="4"/>
      <c r="L56" s="4"/>
      <c r="M56" s="4"/>
      <c r="N56" s="4"/>
    </row>
    <row r="57" spans="11:14" x14ac:dyDescent="0.35">
      <c r="K57" s="4"/>
      <c r="L57" s="4"/>
      <c r="M57" s="4"/>
      <c r="N57" s="4"/>
    </row>
    <row r="58" spans="11:14" x14ac:dyDescent="0.35">
      <c r="K58" s="4"/>
      <c r="L58" s="4"/>
      <c r="M58" s="4"/>
      <c r="N58" s="4"/>
    </row>
    <row r="59" spans="11:14" x14ac:dyDescent="0.35">
      <c r="K59" s="4"/>
      <c r="L59" s="4"/>
      <c r="M59" s="4"/>
      <c r="N59" s="4"/>
    </row>
    <row r="60" spans="11:14" x14ac:dyDescent="0.35">
      <c r="K60" s="4"/>
      <c r="L60" s="4"/>
      <c r="M60" s="4"/>
      <c r="N60" s="4"/>
    </row>
    <row r="61" spans="11:14" x14ac:dyDescent="0.35">
      <c r="K61" s="4"/>
      <c r="L61" s="4"/>
      <c r="M61" s="4"/>
      <c r="N61" s="4"/>
    </row>
    <row r="62" spans="11:14" x14ac:dyDescent="0.35">
      <c r="K62" s="4"/>
      <c r="L62" s="4"/>
      <c r="M62" s="4"/>
      <c r="N62" s="4"/>
    </row>
    <row r="63" spans="11:14" x14ac:dyDescent="0.35">
      <c r="K63" s="4"/>
      <c r="L63" s="4"/>
      <c r="M63" s="4"/>
      <c r="N63" s="4"/>
    </row>
    <row r="64" spans="11:14" x14ac:dyDescent="0.35">
      <c r="K64" s="4"/>
      <c r="L64" s="4"/>
      <c r="M64" s="4"/>
      <c r="N64" s="4"/>
    </row>
    <row r="65" spans="11:14" x14ac:dyDescent="0.35">
      <c r="K65" s="4"/>
      <c r="L65" s="4"/>
      <c r="M65" s="4"/>
      <c r="N65" s="4"/>
    </row>
    <row r="66" spans="11:14" x14ac:dyDescent="0.35">
      <c r="K66" s="4"/>
      <c r="L66" s="4"/>
      <c r="M66" s="4"/>
      <c r="N66" s="4"/>
    </row>
    <row r="67" spans="11:14" x14ac:dyDescent="0.35">
      <c r="K67" s="4"/>
      <c r="L67" s="4"/>
      <c r="M67" s="4"/>
      <c r="N67" s="4"/>
    </row>
    <row r="68" spans="11:14" x14ac:dyDescent="0.35">
      <c r="K68" s="4"/>
      <c r="L68" s="4"/>
      <c r="M68" s="4"/>
      <c r="N68" s="4"/>
    </row>
    <row r="69" spans="11:14" x14ac:dyDescent="0.35">
      <c r="K69" s="4"/>
      <c r="L69" s="4"/>
      <c r="M69" s="4"/>
      <c r="N69" s="4"/>
    </row>
    <row r="70" spans="11:14" x14ac:dyDescent="0.35">
      <c r="K70" s="4"/>
      <c r="L70" s="4"/>
      <c r="M70" s="4"/>
      <c r="N70"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
  <sheetViews>
    <sheetView workbookViewId="0">
      <pane xSplit="1" ySplit="1" topLeftCell="B2" activePane="bottomRight" state="frozen"/>
      <selection pane="topRight" activeCell="B1" sqref="B1"/>
      <selection pane="bottomLeft" activeCell="A2" sqref="A2"/>
      <selection pane="bottomRight" activeCell="P2" sqref="P2"/>
    </sheetView>
  </sheetViews>
  <sheetFormatPr defaultColWidth="8.7265625" defaultRowHeight="14.5" x14ac:dyDescent="0.35"/>
  <cols>
    <col min="2" max="2" width="10.1796875" bestFit="1" customWidth="1"/>
    <col min="3" max="6" width="9.1796875" bestFit="1" customWidth="1"/>
    <col min="7" max="8" width="10.1796875" bestFit="1" customWidth="1"/>
    <col min="9" max="9" width="9.1796875" bestFit="1" customWidth="1"/>
    <col min="10" max="10" width="10.1796875" bestFit="1" customWidth="1"/>
    <col min="11" max="13" width="9.1796875" bestFit="1" customWidth="1"/>
    <col min="14" max="15" width="10.1796875" bestFit="1" customWidth="1"/>
    <col min="16" max="17" width="9.1796875" bestFit="1" customWidth="1"/>
    <col min="18" max="19" width="11.1796875" bestFit="1" customWidth="1"/>
    <col min="20" max="20" width="9.1796875" bestFit="1" customWidth="1"/>
  </cols>
  <sheetData>
    <row r="1" spans="1:20" s="6" customFormat="1" ht="72.5" x14ac:dyDescent="0.35">
      <c r="A1" s="6" t="s">
        <v>14</v>
      </c>
      <c r="B1" s="6" t="str">
        <f>'10.7'!B3</f>
        <v>Enbridge Mainline</v>
      </c>
      <c r="C1" s="6" t="str">
        <f>'10.7'!C3</f>
        <v>Express</v>
      </c>
      <c r="D1" s="6" t="str">
        <f>'10.7'!D3</f>
        <v>Trans Mountain</v>
      </c>
      <c r="E1" s="6" t="str">
        <f>'10.7'!E3</f>
        <v>Keystone</v>
      </c>
      <c r="F1" s="6" t="str">
        <f>'10.7'!F3</f>
        <v>Rangeland/Milk River</v>
      </c>
      <c r="G1" s="6" t="str">
        <f>'10.7'!G3</f>
        <v>NEB 2016 Offtake</v>
      </c>
      <c r="H1" s="6" t="str">
        <f>'10.7'!H3</f>
        <v>Implied Rail</v>
      </c>
      <c r="I1" s="6" t="str">
        <f>'10.7'!I3</f>
        <v>Enbridge Expansions</v>
      </c>
      <c r="J1" s="6" t="str">
        <f>'10.7'!J3</f>
        <v>CAPP 2018 Offtake</v>
      </c>
      <c r="K1" s="6" t="str">
        <f>'10.7'!K3</f>
        <v>Keystone XL</v>
      </c>
      <c r="L1" s="6" t="str">
        <f>'10.7'!L3</f>
        <v>Trans Mountain Expansion</v>
      </c>
      <c r="M1" s="6" t="str">
        <f>'10.7'!M3</f>
        <v>Northern Gateway</v>
      </c>
      <c r="N1" s="6" t="str">
        <f>'10.7'!N3</f>
        <v>Energy East</v>
      </c>
      <c r="O1" s="6" t="str">
        <f>'10.7'!O3</f>
        <v>CAPP 2014 Offtake</v>
      </c>
      <c r="P1" s="6" t="str">
        <f>'10.7'!P3</f>
        <v>TM Ref Prod</v>
      </c>
      <c r="Q1" s="6" t="str">
        <f>'10.7'!Q3</f>
        <v>Western Refinery Runs Net Burnaby + NWR</v>
      </c>
      <c r="R1" s="6" t="str">
        <f>'10.7'!R3</f>
        <v>2018 CAPP Supply Raw</v>
      </c>
      <c r="S1" s="6" t="str">
        <f>'10.7'!S3</f>
        <v>2014 CAPP Supply Raw</v>
      </c>
      <c r="T1" s="6" t="str">
        <f>'10.7'!T3</f>
        <v>Enbridge Bakken Volumes</v>
      </c>
    </row>
    <row r="2" spans="1:20" x14ac:dyDescent="0.35">
      <c r="A2">
        <f>'10.7'!A4</f>
        <v>2010</v>
      </c>
      <c r="B2" s="4">
        <f>'10.7'!B4*6.2929</f>
        <v>2057.7782999999999</v>
      </c>
      <c r="C2" s="4">
        <f>'10.7'!C4*6.2929</f>
        <v>201.37280000000001</v>
      </c>
      <c r="D2" s="4">
        <f>'10.7'!D4*6.2929</f>
        <v>261.15535</v>
      </c>
      <c r="E2" s="4">
        <f>'10.7'!E4*6.2929</f>
        <v>106.97930000000001</v>
      </c>
      <c r="F2" s="4">
        <f>'10.7'!F4*6.2929</f>
        <v>100.68640000000001</v>
      </c>
      <c r="G2" s="4">
        <f>'10.7'!G4*6.2929</f>
        <v>2246.5653000000002</v>
      </c>
      <c r="H2" s="4">
        <f>'10.7'!H4*6.2929</f>
        <v>0</v>
      </c>
      <c r="I2" s="4">
        <f>'10.7'!I4*6.2929</f>
        <v>0</v>
      </c>
      <c r="J2" s="4">
        <f>'10.7'!J4*6.2929</f>
        <v>2233.6000131531569</v>
      </c>
      <c r="K2" s="4">
        <f>'10.7'!K4*6.2929</f>
        <v>0</v>
      </c>
      <c r="L2" s="4">
        <f>'10.7'!L4*6.2929</f>
        <v>0</v>
      </c>
      <c r="M2" s="4">
        <f>'10.7'!M4*6.2929</f>
        <v>0</v>
      </c>
      <c r="N2" s="4">
        <f>'10.7'!N4*6.2929</f>
        <v>0</v>
      </c>
      <c r="O2" s="4">
        <f>'10.7'!O4*6.2929</f>
        <v>2239.4239718373201</v>
      </c>
      <c r="P2" s="4">
        <f>'10.7'!P4*6.2929</f>
        <v>40.903850000000006</v>
      </c>
      <c r="Q2" s="4">
        <f>'10.7'!Q4*6.2929</f>
        <v>434.21010000000001</v>
      </c>
      <c r="R2" s="4">
        <f>'10.7'!R4*6.2929</f>
        <v>16788.262261061504</v>
      </c>
      <c r="S2" s="4">
        <f>'10.7'!S4*6.2929</f>
        <v>16824.911850665074</v>
      </c>
      <c r="T2" s="4">
        <f>'10.7'!T4*6.2929</f>
        <v>0</v>
      </c>
    </row>
    <row r="3" spans="1:20" x14ac:dyDescent="0.35">
      <c r="A3">
        <f>'10.7'!A5</f>
        <v>2011</v>
      </c>
      <c r="B3" s="4">
        <f>'10.7'!B5*6.2929</f>
        <v>2271.7369000000003</v>
      </c>
      <c r="C3" s="4">
        <f>'10.7'!C5*6.2929</f>
        <v>176.2012</v>
      </c>
      <c r="D3" s="4">
        <f>'10.7'!D5*6.2929</f>
        <v>261.15535</v>
      </c>
      <c r="E3" s="4">
        <f>'10.7'!E5*6.2929</f>
        <v>352.4024</v>
      </c>
      <c r="F3" s="4">
        <f>'10.7'!F5*6.2929</f>
        <v>106.97930000000001</v>
      </c>
      <c r="G3" s="4">
        <f>'10.7'!G5*6.2929</f>
        <v>2441.6451999999999</v>
      </c>
      <c r="H3" s="4">
        <f>'10.7'!H5*6.2929</f>
        <v>0</v>
      </c>
      <c r="I3" s="4">
        <f>'10.7'!I5*6.2929</f>
        <v>0</v>
      </c>
      <c r="J3" s="4">
        <f>'10.7'!J5*6.2929</f>
        <v>2421.7138067165288</v>
      </c>
      <c r="K3" s="4">
        <f>'10.7'!K5*6.2929</f>
        <v>0</v>
      </c>
      <c r="L3" s="4">
        <f>'10.7'!L5*6.2929</f>
        <v>0</v>
      </c>
      <c r="M3" s="4">
        <f>'10.7'!M5*6.2929</f>
        <v>0</v>
      </c>
      <c r="N3" s="4">
        <f>'10.7'!N5*6.2929</f>
        <v>0</v>
      </c>
      <c r="O3" s="4">
        <f>'10.7'!O5*6.2929</f>
        <v>2445.4148207234043</v>
      </c>
      <c r="P3" s="4">
        <f>'10.7'!P5*6.2929</f>
        <v>40.903850000000006</v>
      </c>
      <c r="Q3" s="4">
        <f>'10.7'!Q5*6.2929</f>
        <v>478.2604</v>
      </c>
      <c r="R3" s="4">
        <f>'10.7'!R5*6.2929</f>
        <v>18249.247685446448</v>
      </c>
      <c r="S3" s="4">
        <f>'10.7'!S5*6.2929</f>
        <v>18398.395796490313</v>
      </c>
      <c r="T3" s="4">
        <f>'10.7'!T5*6.2929</f>
        <v>0</v>
      </c>
    </row>
    <row r="4" spans="1:20" x14ac:dyDescent="0.35">
      <c r="A4">
        <f>'10.7'!A6</f>
        <v>2012</v>
      </c>
      <c r="B4" s="4">
        <f>'10.7'!B6*6.2929</f>
        <v>2271.7369000000003</v>
      </c>
      <c r="C4" s="4">
        <f>'10.7'!C6*6.2929</f>
        <v>188.78700000000001</v>
      </c>
      <c r="D4" s="4">
        <f>'10.7'!D6*6.2929</f>
        <v>261.15535</v>
      </c>
      <c r="E4" s="4">
        <f>'10.7'!E6*6.2929</f>
        <v>465.67460000000005</v>
      </c>
      <c r="F4" s="4">
        <f>'10.7'!F6*6.2929</f>
        <v>94.393500000000003</v>
      </c>
      <c r="G4" s="4">
        <f>'10.7'!G6*6.2929</f>
        <v>2775.1689000000001</v>
      </c>
      <c r="H4" s="4">
        <f>'10.7'!H6*6.2929</f>
        <v>0</v>
      </c>
      <c r="I4" s="4">
        <f>'10.7'!I6*6.2929</f>
        <v>0</v>
      </c>
      <c r="J4" s="4">
        <f>'10.7'!J6*6.2929</f>
        <v>2725.3214517401834</v>
      </c>
      <c r="K4" s="4">
        <f>'10.7'!K6*6.2929</f>
        <v>0</v>
      </c>
      <c r="L4" s="4">
        <f>'10.7'!L6*6.2929</f>
        <v>0</v>
      </c>
      <c r="M4" s="4">
        <f>'10.7'!M6*6.2929</f>
        <v>0</v>
      </c>
      <c r="N4" s="4">
        <f>'10.7'!N6*6.2929</f>
        <v>0</v>
      </c>
      <c r="O4" s="4">
        <f>'10.7'!O6*6.2929</f>
        <v>2742.6998662389665</v>
      </c>
      <c r="P4" s="4">
        <f>'10.7'!P6*6.2929</f>
        <v>40.903850000000006</v>
      </c>
      <c r="Q4" s="4">
        <f>'10.7'!Q6*6.2929</f>
        <v>497.13910000000004</v>
      </c>
      <c r="R4" s="4">
        <f>'10.7'!R6*6.2929</f>
        <v>20278.622006045804</v>
      </c>
      <c r="S4" s="4">
        <f>'10.7'!S6*6.2929</f>
        <v>20387.982630645194</v>
      </c>
      <c r="T4" s="4">
        <f>'10.7'!T6*6.2929</f>
        <v>0</v>
      </c>
    </row>
    <row r="5" spans="1:20" x14ac:dyDescent="0.35">
      <c r="A5">
        <f>'10.7'!A7</f>
        <v>2013</v>
      </c>
      <c r="B5" s="4">
        <f>'10.7'!B7*6.2929</f>
        <v>2202.5150000000003</v>
      </c>
      <c r="C5" s="4">
        <f>'10.7'!C7*6.2929</f>
        <v>201.37280000000001</v>
      </c>
      <c r="D5" s="4">
        <f>'10.7'!D7*6.2929</f>
        <v>261.15535</v>
      </c>
      <c r="E5" s="4">
        <f>'10.7'!E7*6.2929</f>
        <v>497.13910000000004</v>
      </c>
      <c r="F5" s="4">
        <f>'10.7'!F7*6.2929</f>
        <v>94.393500000000003</v>
      </c>
      <c r="G5" s="4">
        <f>'10.7'!G7*6.2929</f>
        <v>2926.1985</v>
      </c>
      <c r="H5" s="4">
        <f>'10.7'!H7*6.2929</f>
        <v>69.221900000000005</v>
      </c>
      <c r="I5" s="4">
        <f>'10.7'!I7*6.2929</f>
        <v>0</v>
      </c>
      <c r="J5" s="4">
        <f>'10.7'!J7*6.2929</f>
        <v>2984.9962671457338</v>
      </c>
      <c r="K5" s="4">
        <f>'10.7'!K7*6.2929</f>
        <v>0</v>
      </c>
      <c r="L5" s="4">
        <f>'10.7'!L7*6.2929</f>
        <v>0</v>
      </c>
      <c r="M5" s="4">
        <f>'10.7'!M7*6.2929</f>
        <v>0</v>
      </c>
      <c r="N5" s="4">
        <f>'10.7'!N7*6.2929</f>
        <v>0</v>
      </c>
      <c r="O5" s="4">
        <f>'10.7'!O7*6.2929</f>
        <v>3006.7469282023153</v>
      </c>
      <c r="P5" s="4">
        <f>'10.7'!P7*6.2929</f>
        <v>40.903850000000006</v>
      </c>
      <c r="Q5" s="4">
        <f>'10.7'!Q7*6.2929</f>
        <v>497.13910000000004</v>
      </c>
      <c r="R5" s="4">
        <f>'10.7'!R7*6.2929</f>
        <v>21714.726699861389</v>
      </c>
      <c r="S5" s="4">
        <f>'10.7'!S7*6.2929</f>
        <v>21851.601434824352</v>
      </c>
      <c r="T5" s="4">
        <f>'10.7'!T7*6.2929</f>
        <v>31.464500000000001</v>
      </c>
    </row>
    <row r="6" spans="1:20" x14ac:dyDescent="0.35">
      <c r="A6">
        <f>'10.7'!A8</f>
        <v>2014</v>
      </c>
      <c r="B6" s="4">
        <f>'10.7'!B8*6.2929</f>
        <v>2410.1807000000003</v>
      </c>
      <c r="C6" s="4">
        <f>'10.7'!C8*6.2929</f>
        <v>195.07990000000001</v>
      </c>
      <c r="D6" s="4">
        <f>'10.7'!D8*6.2929</f>
        <v>261.15535</v>
      </c>
      <c r="E6" s="4">
        <f>'10.7'!E8*6.2929</f>
        <v>516.01780000000008</v>
      </c>
      <c r="F6" s="4">
        <f>'10.7'!F8*6.2929</f>
        <v>100.68640000000001</v>
      </c>
      <c r="G6" s="4">
        <f>'10.7'!G8*6.2929</f>
        <v>3234.5506</v>
      </c>
      <c r="H6" s="4">
        <f>'10.7'!H8*6.2929</f>
        <v>157.32250000000002</v>
      </c>
      <c r="I6" s="4">
        <f>'10.7'!I8*6.2929</f>
        <v>0</v>
      </c>
      <c r="J6" s="4">
        <f>'10.7'!J8*6.2929</f>
        <v>3340.4301811134869</v>
      </c>
      <c r="K6" s="4">
        <f>'10.7'!K8*6.2929</f>
        <v>0</v>
      </c>
      <c r="L6" s="4">
        <f>'10.7'!L8*6.2929</f>
        <v>0</v>
      </c>
      <c r="M6" s="4">
        <f>'10.7'!M8*6.2929</f>
        <v>0</v>
      </c>
      <c r="N6" s="4">
        <f>'10.7'!N8*6.2929</f>
        <v>0</v>
      </c>
      <c r="O6" s="4">
        <f>'10.7'!O8*6.2929</f>
        <v>3202.2560598631658</v>
      </c>
      <c r="P6" s="4">
        <f>'10.7'!P8*6.2929</f>
        <v>40.903850000000006</v>
      </c>
      <c r="Q6" s="4">
        <f>'10.7'!Q8*6.2929</f>
        <v>522.3107</v>
      </c>
      <c r="R6" s="4">
        <f>'10.7'!R8*6.2929</f>
        <v>23911.836186659064</v>
      </c>
      <c r="S6" s="4">
        <f>'10.7'!S8*6.2929</f>
        <v>23042.320259042917</v>
      </c>
      <c r="T6" s="4">
        <f>'10.7'!T8*6.2929</f>
        <v>62.929000000000002</v>
      </c>
    </row>
    <row r="7" spans="1:20" x14ac:dyDescent="0.35">
      <c r="A7">
        <f>'10.7'!A9</f>
        <v>2015</v>
      </c>
      <c r="B7" s="4">
        <f>'10.7'!B9*6.2929</f>
        <v>2775.1689000000001</v>
      </c>
      <c r="C7" s="4">
        <f>'10.7'!C9*6.2929</f>
        <v>280</v>
      </c>
      <c r="D7" s="4">
        <f>'10.7'!D9*6.2929</f>
        <v>261.15535</v>
      </c>
      <c r="E7" s="4">
        <f>'10.7'!E9*6.2929</f>
        <v>597.82550000000003</v>
      </c>
      <c r="F7" s="4">
        <f>'10.7'!F9*6.2929</f>
        <v>100.68640000000001</v>
      </c>
      <c r="G7" s="4">
        <f>'10.7'!G9*6.2929</f>
        <v>3423.3376000000003</v>
      </c>
      <c r="H7" s="4">
        <f>'10.7'!H9*6.2929</f>
        <v>144.73670000000001</v>
      </c>
      <c r="I7" s="4">
        <f>'10.7'!I9*6.2929</f>
        <v>0</v>
      </c>
      <c r="J7" s="4">
        <f>'10.7'!J9*6.2929</f>
        <v>3553.8184044975874</v>
      </c>
      <c r="K7" s="4">
        <f>'10.7'!K9*6.2929</f>
        <v>0</v>
      </c>
      <c r="L7" s="4">
        <f>'10.7'!L9*6.2929</f>
        <v>0</v>
      </c>
      <c r="M7" s="4">
        <f>'10.7'!M9*6.2929</f>
        <v>0</v>
      </c>
      <c r="N7" s="4">
        <f>'10.7'!N9*6.2929</f>
        <v>0</v>
      </c>
      <c r="O7" s="4">
        <f>'10.7'!O9*6.2929</f>
        <v>3507.037256072379</v>
      </c>
      <c r="P7" s="4">
        <f>'10.7'!P9*6.2929</f>
        <v>40.903850000000006</v>
      </c>
      <c r="Q7" s="4">
        <f>'10.7'!Q9*6.2929</f>
        <v>522.3107</v>
      </c>
      <c r="R7" s="4">
        <f>'10.7'!R9*6.2929</f>
        <v>25056.663985542873</v>
      </c>
      <c r="S7" s="4">
        <f>'10.7'!S9*6.2929</f>
        <v>24762.274896617873</v>
      </c>
      <c r="T7" s="4">
        <f>'10.7'!T9*6.2929</f>
        <v>94.393500000000003</v>
      </c>
    </row>
    <row r="8" spans="1:20" x14ac:dyDescent="0.35">
      <c r="A8">
        <f>'10.7'!A10</f>
        <v>2016</v>
      </c>
      <c r="B8" s="4">
        <f>'10.7'!B10*6.2929</f>
        <v>2831.8050000000003</v>
      </c>
      <c r="C8" s="4">
        <f>'10.7'!C10*6.2929</f>
        <v>280</v>
      </c>
      <c r="D8" s="4">
        <f>'10.7'!D10*6.2929</f>
        <v>261.15535</v>
      </c>
      <c r="E8" s="4">
        <f>'10.7'!E10*6.2929</f>
        <v>597.82550000000003</v>
      </c>
      <c r="F8" s="4">
        <f>'10.7'!F10*6.2929</f>
        <v>100.68640000000001</v>
      </c>
      <c r="G8" s="4">
        <f>'10.7'!G10*6.2929</f>
        <v>3756.8613</v>
      </c>
      <c r="H8" s="4">
        <f>'10.7'!H10*6.2929</f>
        <v>327.23080000000004</v>
      </c>
      <c r="I8" s="4">
        <f>'10.7'!I10*6.2929</f>
        <v>0</v>
      </c>
      <c r="J8" s="4">
        <f>'10.7'!J10*6.2929</f>
        <v>3555.9432516648885</v>
      </c>
      <c r="K8" s="4">
        <f>'10.7'!K10*6.2929</f>
        <v>0</v>
      </c>
      <c r="L8" s="4">
        <f>'10.7'!L10*6.2929</f>
        <v>0</v>
      </c>
      <c r="M8" s="4">
        <f>'10.7'!M10*6.2929</f>
        <v>0</v>
      </c>
      <c r="N8" s="4">
        <f>'10.7'!N10*6.2929</f>
        <v>0</v>
      </c>
      <c r="O8" s="4">
        <f>'10.7'!O10*6.2929</f>
        <v>3899.8988680933157</v>
      </c>
      <c r="P8" s="4">
        <f>'10.7'!P10*6.2929</f>
        <v>40.903850000000006</v>
      </c>
      <c r="Q8" s="4">
        <f>'10.7'!Q10*6.2929</f>
        <v>499.02697000000001</v>
      </c>
      <c r="R8" s="4">
        <f>'10.7'!R10*6.2929</f>
        <v>24606.708528484978</v>
      </c>
      <c r="S8" s="4">
        <f>'10.7'!S10*6.2929</f>
        <v>26771.186827107427</v>
      </c>
      <c r="T8" s="4">
        <f>'10.7'!T10*6.2929</f>
        <v>144.73670000000001</v>
      </c>
    </row>
    <row r="9" spans="1:20" x14ac:dyDescent="0.35">
      <c r="A9">
        <f>'10.7'!A11</f>
        <v>2017</v>
      </c>
      <c r="B9" s="4">
        <f>'10.7'!B11*6.2929</f>
        <v>2875.8553000000002</v>
      </c>
      <c r="C9" s="4">
        <f>'10.7'!C11*6.2929</f>
        <v>280</v>
      </c>
      <c r="D9" s="4">
        <f>'10.7'!D11*6.2929</f>
        <v>261.15535</v>
      </c>
      <c r="E9" s="4">
        <f>'10.7'!E11*6.2929</f>
        <v>597.82550000000003</v>
      </c>
      <c r="F9" s="4">
        <f>'10.7'!F11*6.2929</f>
        <v>100.68640000000001</v>
      </c>
      <c r="G9" s="4">
        <f>'10.7'!G11*6.2929</f>
        <v>3951.9412000000002</v>
      </c>
      <c r="H9" s="4">
        <f>'10.7'!H11*6.2929</f>
        <v>522.3107</v>
      </c>
      <c r="I9" s="4">
        <f>'10.7'!I11*6.2929</f>
        <v>0</v>
      </c>
      <c r="J9" s="4">
        <f>'10.7'!J11*6.2929</f>
        <v>3848.2995576045164</v>
      </c>
      <c r="K9" s="4">
        <f>'10.7'!K11*6.2929</f>
        <v>0</v>
      </c>
      <c r="L9" s="4">
        <f>'10.7'!L11*6.2929</f>
        <v>0</v>
      </c>
      <c r="M9" s="4">
        <f>'10.7'!M11*6.2929</f>
        <v>0</v>
      </c>
      <c r="N9" s="4">
        <f>'10.7'!N11*6.2929</f>
        <v>0</v>
      </c>
      <c r="O9" s="4">
        <f>'10.7'!O11*6.2929</f>
        <v>4106.0106641110851</v>
      </c>
      <c r="P9" s="4">
        <f>'10.7'!P11*6.2929</f>
        <v>40.903850000000006</v>
      </c>
      <c r="Q9" s="4">
        <f>'10.7'!Q11*6.2929</f>
        <v>490.84620000000001</v>
      </c>
      <c r="R9" s="4">
        <f>'10.7'!R11*6.2929</f>
        <v>26394.996758599464</v>
      </c>
      <c r="S9" s="4">
        <f>'10.7'!S11*6.2929</f>
        <v>28016.746980734653</v>
      </c>
      <c r="T9" s="4">
        <f>'10.7'!T11*6.2929</f>
        <v>144.73670000000001</v>
      </c>
    </row>
    <row r="10" spans="1:20" x14ac:dyDescent="0.35">
      <c r="A10">
        <f>'10.7'!A12</f>
        <v>2018</v>
      </c>
      <c r="B10" s="4">
        <f>'10.7'!B12*6.2929</f>
        <v>2875.8553000000002</v>
      </c>
      <c r="C10" s="4">
        <f>'10.7'!C12*6.2929</f>
        <v>280</v>
      </c>
      <c r="D10" s="4">
        <f>'10.7'!D12*6.2929</f>
        <v>261.15535</v>
      </c>
      <c r="E10" s="4">
        <f>'10.7'!E12*6.2929</f>
        <v>597.82550000000003</v>
      </c>
      <c r="F10" s="4">
        <f>'10.7'!F12*6.2929</f>
        <v>100.68640000000001</v>
      </c>
      <c r="G10" s="4">
        <f>'10.7'!G12*6.2929</f>
        <v>3964.527</v>
      </c>
      <c r="H10" s="4">
        <f>'10.7'!H12*6.2929</f>
        <v>434.21010000000001</v>
      </c>
      <c r="I10" s="4">
        <f>'10.7'!I12*6.2929</f>
        <v>0</v>
      </c>
      <c r="J10" s="4">
        <f>'10.7'!J12*6.2929</f>
        <v>4194.0635988220683</v>
      </c>
      <c r="K10" s="4">
        <f>'10.7'!K12*6.2929</f>
        <v>0</v>
      </c>
      <c r="L10" s="4">
        <f>'10.7'!L12*6.2929</f>
        <v>0</v>
      </c>
      <c r="M10" s="4">
        <f>'10.7'!M12*6.2929</f>
        <v>0</v>
      </c>
      <c r="N10" s="4">
        <f>'10.7'!N12*6.2929</f>
        <v>0</v>
      </c>
      <c r="O10" s="4">
        <f>'10.7'!O12*6.2929</f>
        <v>4313.6856421146085</v>
      </c>
      <c r="P10" s="4">
        <f>'10.7'!P12*6.2929</f>
        <v>40.903850000000006</v>
      </c>
      <c r="Q10" s="4">
        <f>'10.7'!Q12*6.2929</f>
        <v>490.84620000000001</v>
      </c>
      <c r="R10" s="4">
        <f>'10.7'!R12*6.2929</f>
        <v>28570.855293577391</v>
      </c>
      <c r="S10" s="4">
        <f>'10.7'!S12*6.2929</f>
        <v>29323.624849813019</v>
      </c>
      <c r="T10" s="4">
        <f>'10.7'!T12*6.2929</f>
        <v>144.73670000000001</v>
      </c>
    </row>
    <row r="11" spans="1:20" x14ac:dyDescent="0.35">
      <c r="A11">
        <f>'10.7'!A13</f>
        <v>2019</v>
      </c>
      <c r="B11" s="4">
        <f>'10.7'!B13*6.2929</f>
        <v>2875.8553000000002</v>
      </c>
      <c r="C11" s="4">
        <f>'10.7'!C13*6.2929</f>
        <v>280</v>
      </c>
      <c r="D11" s="4">
        <f>'10.7'!D13*6.2929</f>
        <v>261.15535</v>
      </c>
      <c r="E11" s="4">
        <f>'10.7'!E13*6.2929</f>
        <v>597.82550000000003</v>
      </c>
      <c r="F11" s="4">
        <f>'10.7'!F13*6.2929</f>
        <v>100.68640000000001</v>
      </c>
      <c r="G11" s="4">
        <f>'10.7'!G13*6.2929</f>
        <v>4052.6276000000003</v>
      </c>
      <c r="H11" s="4">
        <f>'10.7'!H13*6.2929</f>
        <v>106.97930000000001</v>
      </c>
      <c r="I11" s="4">
        <f>'10.7'!I13*6.2929</f>
        <v>364.98820000000001</v>
      </c>
      <c r="J11" s="4">
        <f>'10.7'!J13*6.2929</f>
        <v>4380.3660225233389</v>
      </c>
      <c r="K11" s="4">
        <f>'10.7'!K13*6.2929</f>
        <v>0</v>
      </c>
      <c r="L11" s="4">
        <f>'10.7'!L13*6.2929</f>
        <v>0</v>
      </c>
      <c r="M11" s="4">
        <f>'10.7'!M13*6.2929</f>
        <v>0</v>
      </c>
      <c r="N11" s="4">
        <f>'10.7'!N13*6.2929</f>
        <v>0</v>
      </c>
      <c r="O11" s="4">
        <f>'10.7'!O13*6.2929</f>
        <v>4504.2616275906566</v>
      </c>
      <c r="P11" s="4">
        <f>'10.7'!P13*6.2929</f>
        <v>40.903850000000006</v>
      </c>
      <c r="Q11" s="4">
        <f>'10.7'!Q13*6.2929</f>
        <v>540.84620000000007</v>
      </c>
      <c r="R11" s="4">
        <f>'10.7'!R13*6.2929</f>
        <v>30057.882815687124</v>
      </c>
      <c r="S11" s="4">
        <f>'10.7'!S13*6.2929</f>
        <v>30837.545468815242</v>
      </c>
      <c r="T11" s="4">
        <f>'10.7'!T13*6.2929</f>
        <v>144.73670000000001</v>
      </c>
    </row>
    <row r="12" spans="1:20" x14ac:dyDescent="0.35">
      <c r="A12">
        <f>'10.7'!A14</f>
        <v>2020</v>
      </c>
      <c r="B12" s="4">
        <f>'10.7'!B14*6.2929</f>
        <v>2875.8553000000002</v>
      </c>
      <c r="C12" s="4">
        <f>'10.7'!C14*6.2929</f>
        <v>320</v>
      </c>
      <c r="D12" s="4">
        <f>'10.7'!D14*6.2929</f>
        <v>261.15535</v>
      </c>
      <c r="E12" s="4">
        <f>'10.7'!E14*6.2929</f>
        <v>597.82550000000003</v>
      </c>
      <c r="F12" s="4">
        <f>'10.7'!F14*6.2929</f>
        <v>220.25150000000002</v>
      </c>
      <c r="G12" s="4">
        <f>'10.7'!G14*6.2929</f>
        <v>4058.9205000000002</v>
      </c>
      <c r="H12" s="4">
        <f>'10.7'!H14*6.2929</f>
        <v>113.27220000000001</v>
      </c>
      <c r="I12" s="4">
        <f>'10.7'!I14*6.2929</f>
        <v>364.98820000000001</v>
      </c>
      <c r="J12" s="4">
        <f>'10.7'!J14*6.2929</f>
        <v>4490.4634133551663</v>
      </c>
      <c r="K12" s="4">
        <f>'10.7'!K14*6.2929</f>
        <v>0</v>
      </c>
      <c r="L12" s="4">
        <f>'10.7'!L14*6.2929</f>
        <v>0</v>
      </c>
      <c r="M12" s="4">
        <f>'10.7'!M14*6.2929</f>
        <v>0</v>
      </c>
      <c r="N12" s="4">
        <f>'10.7'!N14*6.2929</f>
        <v>0</v>
      </c>
      <c r="O12" s="4">
        <f>'10.7'!O14*6.2929</f>
        <v>4749.6622473688603</v>
      </c>
      <c r="P12" s="4">
        <f>'10.7'!P14*6.2929</f>
        <v>40.903850000000006</v>
      </c>
      <c r="Q12" s="4">
        <f>'10.7'!Q14*6.2929</f>
        <v>597.82550000000003</v>
      </c>
      <c r="R12" s="4">
        <f>'10.7'!R14*6.2929</f>
        <v>31109.279723422726</v>
      </c>
      <c r="S12" s="4">
        <f>'10.7'!S14*6.2929</f>
        <v>32740.3920659875</v>
      </c>
      <c r="T12" s="4">
        <f>'10.7'!T14*6.2929</f>
        <v>144.73670000000001</v>
      </c>
    </row>
    <row r="13" spans="1:20" x14ac:dyDescent="0.35">
      <c r="A13">
        <f>'10.7'!A15</f>
        <v>2021</v>
      </c>
      <c r="B13" s="4">
        <f>'10.7'!B15*6.2929</f>
        <v>2982.8346000000001</v>
      </c>
      <c r="C13" s="4">
        <f>'10.7'!C15*6.2929</f>
        <v>320</v>
      </c>
      <c r="D13" s="4">
        <f>'10.7'!D15*6.2929</f>
        <v>261.15535</v>
      </c>
      <c r="E13" s="4">
        <f>'10.7'!E15*6.2929</f>
        <v>654.46160000000009</v>
      </c>
      <c r="F13" s="4">
        <f>'10.7'!F15*6.2929</f>
        <v>220.25150000000002</v>
      </c>
      <c r="G13" s="4">
        <f>'10.7'!G15*6.2929</f>
        <v>4065.2134000000001</v>
      </c>
      <c r="H13" s="4">
        <f>'10.7'!H15*6.2929</f>
        <v>94.393500000000003</v>
      </c>
      <c r="I13" s="4">
        <f>'10.7'!I15*6.2929</f>
        <v>364.98820000000001</v>
      </c>
      <c r="J13" s="4">
        <f>'10.7'!J15*6.2929</f>
        <v>4563.8062154791905</v>
      </c>
      <c r="K13" s="4">
        <f>'10.7'!K15*6.2929</f>
        <v>415.33140000000003</v>
      </c>
      <c r="L13" s="4">
        <f>'10.7'!L15*6.2929</f>
        <v>346.10950000000003</v>
      </c>
      <c r="M13" s="4">
        <f>'10.7'!M15*6.2929</f>
        <v>0</v>
      </c>
      <c r="N13" s="4">
        <f>'10.7'!N15*6.2929</f>
        <v>0</v>
      </c>
      <c r="O13" s="4">
        <f>'10.7'!O15*6.2929</f>
        <v>5032.3626650352408</v>
      </c>
      <c r="P13" s="4">
        <f>'10.7'!P15*6.2929</f>
        <v>40.903850000000006</v>
      </c>
      <c r="Q13" s="4">
        <f>'10.7'!Q15*6.2929</f>
        <v>597.82550000000003</v>
      </c>
      <c r="R13" s="4">
        <f>'10.7'!R15*6.2929</f>
        <v>31570.818642909002</v>
      </c>
      <c r="S13" s="4">
        <f>'10.7'!S15*6.2929</f>
        <v>34519.397524320273</v>
      </c>
      <c r="T13" s="4">
        <f>'10.7'!T15*6.2929</f>
        <v>144.73670000000001</v>
      </c>
    </row>
    <row r="14" spans="1:20" x14ac:dyDescent="0.35">
      <c r="A14">
        <f>'10.7'!A16</f>
        <v>2022</v>
      </c>
      <c r="B14" s="4">
        <f>'10.7'!B16*6.2929</f>
        <v>2982.8346000000001</v>
      </c>
      <c r="C14" s="4">
        <f>'10.7'!C16*6.2929</f>
        <v>320</v>
      </c>
      <c r="D14" s="4">
        <f>'10.7'!D16*6.2929</f>
        <v>261.15535</v>
      </c>
      <c r="E14" s="4">
        <f>'10.7'!E16*6.2929</f>
        <v>654.46160000000009</v>
      </c>
      <c r="F14" s="4">
        <f>'10.7'!F16*6.2929</f>
        <v>220.25150000000002</v>
      </c>
      <c r="G14" s="4">
        <f>'10.7'!G16*6.2929</f>
        <v>4084.0921000000003</v>
      </c>
      <c r="H14" s="4">
        <f>'10.7'!H16*6.2929</f>
        <v>106.97930000000001</v>
      </c>
      <c r="I14" s="4">
        <f>'10.7'!I16*6.2929</f>
        <v>364.98820000000001</v>
      </c>
      <c r="J14" s="4">
        <f>'10.7'!J16*6.2929</f>
        <v>4641.0526341675413</v>
      </c>
      <c r="K14" s="4">
        <f>'10.7'!K16*6.2929</f>
        <v>829.99999999999989</v>
      </c>
      <c r="L14" s="4">
        <f>'10.7'!L16*6.2929</f>
        <v>604.11840000000007</v>
      </c>
      <c r="M14" s="4">
        <f>'10.7'!M16*6.2929</f>
        <v>261.15535</v>
      </c>
      <c r="N14" s="4">
        <f>'10.7'!N16*6.2929</f>
        <v>0</v>
      </c>
      <c r="O14" s="4">
        <f>'10.7'!O16*6.2929</f>
        <v>5253.8820161769117</v>
      </c>
      <c r="P14" s="4">
        <f>'10.7'!P16*6.2929</f>
        <v>40.903850000000006</v>
      </c>
      <c r="Q14" s="4">
        <f>'10.7'!Q16*6.2929</f>
        <v>597.82550000000003</v>
      </c>
      <c r="R14" s="4">
        <f>'10.7'!R16*6.2929</f>
        <v>32056.922631072921</v>
      </c>
      <c r="S14" s="4">
        <f>'10.7'!S16*6.2929</f>
        <v>35913.396649119684</v>
      </c>
      <c r="T14" s="4">
        <f>'10.7'!T16*6.2929</f>
        <v>144.73670000000001</v>
      </c>
    </row>
    <row r="15" spans="1:20" x14ac:dyDescent="0.35">
      <c r="A15">
        <f>'10.7'!A17</f>
        <v>2023</v>
      </c>
      <c r="B15" s="4">
        <f>'10.7'!B17*6.2929</f>
        <v>2982.8346000000001</v>
      </c>
      <c r="C15" s="4">
        <f>'10.7'!C17*6.2929</f>
        <v>320</v>
      </c>
      <c r="D15" s="4">
        <f>'10.7'!D17*6.2929</f>
        <v>261.15535</v>
      </c>
      <c r="E15" s="4">
        <f>'10.7'!E17*6.2929</f>
        <v>654.46160000000009</v>
      </c>
      <c r="F15" s="4">
        <f>'10.7'!F17*6.2929</f>
        <v>220.25150000000002</v>
      </c>
      <c r="G15" s="4">
        <f>'10.7'!G17*6.2929</f>
        <v>4115.5565999999999</v>
      </c>
      <c r="H15" s="4">
        <f>'10.7'!H17*6.2929</f>
        <v>144.73670000000001</v>
      </c>
      <c r="I15" s="4">
        <f>'10.7'!I17*6.2929</f>
        <v>364.98820000000001</v>
      </c>
      <c r="J15" s="4">
        <f>'10.7'!J17*6.2929</f>
        <v>4711.1829536350624</v>
      </c>
      <c r="K15" s="4">
        <f>'10.7'!K17*6.2929</f>
        <v>829.99999999999989</v>
      </c>
      <c r="L15" s="4">
        <f>'10.7'!L17*6.2929</f>
        <v>604.11840000000007</v>
      </c>
      <c r="M15" s="4">
        <f>'10.7'!M17*6.2929</f>
        <v>525</v>
      </c>
      <c r="N15" s="4">
        <f>'10.7'!N17*6.2929</f>
        <v>0</v>
      </c>
      <c r="O15" s="4">
        <f>'10.7'!O17*6.2929</f>
        <v>5464.1005935586281</v>
      </c>
      <c r="P15" s="4">
        <f>'10.7'!P17*6.2929</f>
        <v>40.903850000000006</v>
      </c>
      <c r="Q15" s="4">
        <f>'10.7'!Q17*6.2929</f>
        <v>597.82550000000003</v>
      </c>
      <c r="R15" s="4">
        <f>'10.7'!R17*6.2929</f>
        <v>32498.245718450089</v>
      </c>
      <c r="S15" s="4">
        <f>'10.7'!S17*6.2929</f>
        <v>37236.281134725097</v>
      </c>
      <c r="T15" s="4">
        <f>'10.7'!T17*6.2929</f>
        <v>144.73670000000001</v>
      </c>
    </row>
    <row r="16" spans="1:20" x14ac:dyDescent="0.35">
      <c r="A16">
        <f>'10.7'!A18</f>
        <v>2024</v>
      </c>
      <c r="B16" s="4">
        <f>'10.7'!B18*6.2929</f>
        <v>2982.8346000000001</v>
      </c>
      <c r="C16" s="4">
        <f>'10.7'!C18*6.2929</f>
        <v>320</v>
      </c>
      <c r="D16" s="4">
        <f>'10.7'!D18*6.2929</f>
        <v>261.15535</v>
      </c>
      <c r="E16" s="4">
        <f>'10.7'!E18*6.2929</f>
        <v>654.46160000000009</v>
      </c>
      <c r="F16" s="4">
        <f>'10.7'!F18*6.2929</f>
        <v>220.25150000000002</v>
      </c>
      <c r="G16" s="4">
        <f>'10.7'!G18*6.2929</f>
        <v>4184.7785000000003</v>
      </c>
      <c r="H16" s="4">
        <f>'10.7'!H18*6.2929</f>
        <v>207.66570000000002</v>
      </c>
      <c r="I16" s="4">
        <f>'10.7'!I18*6.2929</f>
        <v>364.98820000000001</v>
      </c>
      <c r="J16" s="4">
        <f>'10.7'!J18*6.2929</f>
        <v>4746.6438573942178</v>
      </c>
      <c r="K16" s="4">
        <f>'10.7'!K18*6.2929</f>
        <v>829.99999999999989</v>
      </c>
      <c r="L16" s="4">
        <f>'10.7'!L18*6.2929</f>
        <v>604.11840000000007</v>
      </c>
      <c r="M16" s="4">
        <f>'10.7'!M18*6.2929</f>
        <v>525</v>
      </c>
      <c r="N16" s="4">
        <f>'10.7'!N18*6.2929</f>
        <v>550.62875000000008</v>
      </c>
      <c r="O16" s="4">
        <f>'10.7'!O18*6.2929</f>
        <v>5734.0549663831544</v>
      </c>
      <c r="P16" s="4">
        <f>'10.7'!P18*6.2929</f>
        <v>40.903850000000006</v>
      </c>
      <c r="Q16" s="4">
        <f>'10.7'!Q18*6.2929</f>
        <v>597.82550000000003</v>
      </c>
      <c r="R16" s="4">
        <f>'10.7'!R18*6.2929</f>
        <v>32721.397639716073</v>
      </c>
      <c r="S16" s="4">
        <f>'10.7'!S18*6.2929</f>
        <v>38935.077007472559</v>
      </c>
      <c r="T16" s="4">
        <f>'10.7'!T18*6.2929</f>
        <v>144.73670000000001</v>
      </c>
    </row>
    <row r="17" spans="1:20" x14ac:dyDescent="0.35">
      <c r="A17">
        <f>'10.7'!A19</f>
        <v>2025</v>
      </c>
      <c r="B17" s="4">
        <f>'10.7'!B19*6.2929</f>
        <v>2982.8346000000001</v>
      </c>
      <c r="C17" s="4">
        <f>'10.7'!C19*6.2929</f>
        <v>320</v>
      </c>
      <c r="D17" s="4">
        <f>'10.7'!D19*6.2929</f>
        <v>261.15535</v>
      </c>
      <c r="E17" s="4">
        <f>'10.7'!E19*6.2929</f>
        <v>654.46160000000009</v>
      </c>
      <c r="F17" s="4">
        <f>'10.7'!F19*6.2929</f>
        <v>220.25150000000002</v>
      </c>
      <c r="G17" s="4">
        <f>'10.7'!G19*6.2929</f>
        <v>4241.4146000000001</v>
      </c>
      <c r="H17" s="4">
        <f>'10.7'!H19*6.2929</f>
        <v>270.59469999999999</v>
      </c>
      <c r="I17" s="4">
        <f>'10.7'!I19*6.2929</f>
        <v>364.98820000000001</v>
      </c>
      <c r="J17" s="4">
        <f>'10.7'!J19*6.2929</f>
        <v>4798.5251381652615</v>
      </c>
      <c r="K17" s="4">
        <f>'10.7'!K19*6.2929</f>
        <v>829.99999999999989</v>
      </c>
      <c r="L17" s="4">
        <f>'10.7'!L19*6.2929</f>
        <v>604.11840000000007</v>
      </c>
      <c r="M17" s="4">
        <f>'10.7'!M19*6.2929</f>
        <v>525</v>
      </c>
      <c r="N17" s="4">
        <f>'10.7'!N19*6.2929</f>
        <v>1100</v>
      </c>
      <c r="O17" s="4">
        <f>'10.7'!O19*6.2929</f>
        <v>5954.6512379994247</v>
      </c>
      <c r="P17" s="4">
        <f>'10.7'!P19*6.2929</f>
        <v>40.903850000000006</v>
      </c>
      <c r="Q17" s="4">
        <f>'10.7'!Q19*6.2929</f>
        <v>597.82550000000003</v>
      </c>
      <c r="R17" s="4">
        <f>'10.7'!R19*6.2929</f>
        <v>33047.881351480173</v>
      </c>
      <c r="S17" s="4">
        <f>'10.7'!S19*6.2929</f>
        <v>40323.267285126582</v>
      </c>
      <c r="T17" s="4">
        <f>'10.7'!T19*6.2929</f>
        <v>144.73670000000001</v>
      </c>
    </row>
    <row r="18" spans="1:20" x14ac:dyDescent="0.35">
      <c r="A18">
        <f>'10.7'!A20</f>
        <v>2026</v>
      </c>
      <c r="B18" s="4">
        <f>'10.7'!B20*6.2929</f>
        <v>2982.8346000000001</v>
      </c>
      <c r="C18" s="4">
        <f>'10.7'!C20*6.2929</f>
        <v>320</v>
      </c>
      <c r="D18" s="4">
        <f>'10.7'!D20*6.2929</f>
        <v>261.15535</v>
      </c>
      <c r="E18" s="4">
        <f>'10.7'!E20*6.2929</f>
        <v>654.46160000000009</v>
      </c>
      <c r="F18" s="4">
        <f>'10.7'!F20*6.2929</f>
        <v>220.25150000000002</v>
      </c>
      <c r="G18" s="4">
        <f>'10.7'!G20*6.2929</f>
        <v>4373.5655000000006</v>
      </c>
      <c r="H18" s="4">
        <f>'10.7'!H20*6.2929</f>
        <v>402.74560000000002</v>
      </c>
      <c r="I18" s="4">
        <f>'10.7'!I20*6.2929</f>
        <v>364.98820000000001</v>
      </c>
      <c r="J18" s="4">
        <f>'10.7'!J20*6.2929</f>
        <v>4869.1458878772419</v>
      </c>
      <c r="K18" s="4">
        <f>'10.7'!K20*6.2929</f>
        <v>829.99999999999989</v>
      </c>
      <c r="L18" s="4">
        <f>'10.7'!L20*6.2929</f>
        <v>604.11840000000007</v>
      </c>
      <c r="M18" s="4">
        <f>'10.7'!M20*6.2929</f>
        <v>525</v>
      </c>
      <c r="N18" s="4">
        <f>'10.7'!N20*6.2929</f>
        <v>1100</v>
      </c>
      <c r="O18" s="4">
        <f>'10.7'!O20*6.2929</f>
        <v>6208.6493044221643</v>
      </c>
      <c r="P18" s="4">
        <f>'10.7'!P20*6.2929</f>
        <v>40.903850000000006</v>
      </c>
      <c r="Q18" s="4">
        <f>'10.7'!Q20*6.2929</f>
        <v>597.82550000000003</v>
      </c>
      <c r="R18" s="4">
        <f>'10.7'!R20*6.2929</f>
        <v>33492.290667342699</v>
      </c>
      <c r="S18" s="4">
        <f>'10.7'!S20*6.2929</f>
        <v>41921.651717318244</v>
      </c>
      <c r="T18" s="4">
        <f>'10.7'!T20*6.2929</f>
        <v>144.73670000000001</v>
      </c>
    </row>
    <row r="19" spans="1:20" x14ac:dyDescent="0.35">
      <c r="A19">
        <f>'10.7'!A21</f>
        <v>2027</v>
      </c>
      <c r="B19" s="4">
        <f>'10.7'!B21*6.2929</f>
        <v>2982.8346000000001</v>
      </c>
      <c r="C19" s="4">
        <f>'10.7'!C21*6.2929</f>
        <v>320</v>
      </c>
      <c r="D19" s="4">
        <f>'10.7'!D21*6.2929</f>
        <v>261.15535</v>
      </c>
      <c r="E19" s="4">
        <f>'10.7'!E21*6.2929</f>
        <v>654.46160000000009</v>
      </c>
      <c r="F19" s="4">
        <f>'10.7'!F21*6.2929</f>
        <v>220.25150000000002</v>
      </c>
      <c r="G19" s="4">
        <f>'10.7'!G21*6.2929</f>
        <v>4480.5448000000006</v>
      </c>
      <c r="H19" s="4">
        <f>'10.7'!H21*6.2929</f>
        <v>503.43200000000002</v>
      </c>
      <c r="I19" s="4">
        <f>'10.7'!I21*6.2929</f>
        <v>364.98820000000001</v>
      </c>
      <c r="J19" s="4">
        <f>'10.7'!J21*6.2929</f>
        <v>4922.179270817961</v>
      </c>
      <c r="K19" s="4">
        <f>'10.7'!K21*6.2929</f>
        <v>829.99999999999989</v>
      </c>
      <c r="L19" s="4">
        <f>'10.7'!L21*6.2929</f>
        <v>604.11840000000007</v>
      </c>
      <c r="M19" s="4">
        <f>'10.7'!M21*6.2929</f>
        <v>525</v>
      </c>
      <c r="N19" s="4">
        <f>'10.7'!N21*6.2929</f>
        <v>1100</v>
      </c>
      <c r="O19" s="4">
        <f>'10.7'!O21*6.2929</f>
        <v>6400.9664097339937</v>
      </c>
      <c r="P19" s="4">
        <f>'10.7'!P21*6.2929</f>
        <v>40.903850000000006</v>
      </c>
      <c r="Q19" s="4">
        <f>'10.7'!Q21*6.2929</f>
        <v>597.82550000000003</v>
      </c>
      <c r="R19" s="4">
        <f>'10.7'!R21*6.2929</f>
        <v>33826.024442850343</v>
      </c>
      <c r="S19" s="4">
        <f>'10.7'!S21*6.2929</f>
        <v>43131.884029335051</v>
      </c>
      <c r="T19" s="4">
        <f>'10.7'!T21*6.2929</f>
        <v>144.73670000000001</v>
      </c>
    </row>
    <row r="20" spans="1:20" x14ac:dyDescent="0.35">
      <c r="A20">
        <f>'10.7'!A22</f>
        <v>2028</v>
      </c>
      <c r="B20" s="4">
        <f>'10.7'!B22*6.2929</f>
        <v>2982.8346000000001</v>
      </c>
      <c r="C20" s="4">
        <f>'10.7'!C22*6.2929</f>
        <v>320</v>
      </c>
      <c r="D20" s="4">
        <f>'10.7'!D22*6.2929</f>
        <v>261.15535</v>
      </c>
      <c r="E20" s="4">
        <f>'10.7'!E22*6.2929</f>
        <v>654.46160000000009</v>
      </c>
      <c r="F20" s="4">
        <f>'10.7'!F22*6.2929</f>
        <v>220.25150000000002</v>
      </c>
      <c r="G20" s="4">
        <f>'10.7'!G22*6.2929</f>
        <v>4562.3525</v>
      </c>
      <c r="H20" s="4">
        <f>'10.7'!H22*6.2929</f>
        <v>591.5326</v>
      </c>
      <c r="I20" s="4">
        <f>'10.7'!I22*6.2929</f>
        <v>364.98820000000001</v>
      </c>
      <c r="J20" s="4">
        <f>'10.7'!J22*6.2929</f>
        <v>4980.9027931142582</v>
      </c>
      <c r="K20" s="4">
        <f>'10.7'!K22*6.2929</f>
        <v>829.99999999999989</v>
      </c>
      <c r="L20" s="4">
        <f>'10.7'!L22*6.2929</f>
        <v>604.11840000000007</v>
      </c>
      <c r="M20" s="4">
        <f>'10.7'!M22*6.2929</f>
        <v>525</v>
      </c>
      <c r="N20" s="4">
        <f>'10.7'!N22*6.2929</f>
        <v>1100</v>
      </c>
      <c r="O20" s="4">
        <f>'10.7'!O22*6.2929</f>
        <v>6605.3049012472611</v>
      </c>
      <c r="P20" s="4">
        <f>'10.7'!P22*6.2929</f>
        <v>40.903850000000006</v>
      </c>
      <c r="Q20" s="4">
        <f>'10.7'!Q22*6.2929</f>
        <v>597.82550000000003</v>
      </c>
      <c r="R20" s="4">
        <f>'10.7'!R22*6.2929</f>
        <v>34195.565696308717</v>
      </c>
      <c r="S20" s="4">
        <f>'10.7'!S22*6.2929</f>
        <v>44417.765722578893</v>
      </c>
      <c r="T20" s="4">
        <f>'10.7'!T22*6.2929</f>
        <v>144.73670000000001</v>
      </c>
    </row>
    <row r="21" spans="1:20" x14ac:dyDescent="0.35">
      <c r="A21">
        <f>'10.7'!A23</f>
        <v>2029</v>
      </c>
      <c r="B21" s="4">
        <f>'10.7'!B23*6.2929</f>
        <v>2982.8346000000001</v>
      </c>
      <c r="C21" s="4">
        <f>'10.7'!C23*6.2929</f>
        <v>320</v>
      </c>
      <c r="D21" s="4">
        <f>'10.7'!D23*6.2929</f>
        <v>261.15535</v>
      </c>
      <c r="E21" s="4">
        <f>'10.7'!E23*6.2929</f>
        <v>654.46160000000009</v>
      </c>
      <c r="F21" s="4">
        <f>'10.7'!F23*6.2929</f>
        <v>220.25150000000002</v>
      </c>
      <c r="G21" s="4">
        <f>'10.7'!G23*6.2929</f>
        <v>4637.8672999999999</v>
      </c>
      <c r="H21" s="4">
        <f>'10.7'!H23*6.2929</f>
        <v>667.04740000000004</v>
      </c>
      <c r="I21" s="4">
        <f>'10.7'!I23*6.2929</f>
        <v>364.98820000000001</v>
      </c>
      <c r="J21" s="4">
        <f>'10.7'!J23*6.2929</f>
        <v>5111.7494711912514</v>
      </c>
      <c r="K21" s="4">
        <f>'10.7'!K23*6.2929</f>
        <v>829.99999999999989</v>
      </c>
      <c r="L21" s="4">
        <f>'10.7'!L23*6.2929</f>
        <v>604.11840000000007</v>
      </c>
      <c r="M21" s="4">
        <f>'10.7'!M23*6.2929</f>
        <v>525</v>
      </c>
      <c r="N21" s="4">
        <f>'10.7'!N23*6.2929</f>
        <v>1100</v>
      </c>
      <c r="O21" s="4">
        <f>'10.7'!O23*6.2929</f>
        <v>6780.7181549483139</v>
      </c>
      <c r="P21" s="4">
        <f>'10.7'!P23*6.2929</f>
        <v>40.903850000000006</v>
      </c>
      <c r="Q21" s="4">
        <f>'10.7'!Q23*6.2929</f>
        <v>597.82550000000003</v>
      </c>
      <c r="R21" s="4">
        <f>'10.7'!R23*6.2929</f>
        <v>35018.970756779425</v>
      </c>
      <c r="S21" s="4">
        <f>'10.7'!S23*6.2929</f>
        <v>45521.623786794247</v>
      </c>
      <c r="T21" s="4">
        <f>'10.7'!T23*6.2929</f>
        <v>144.73670000000001</v>
      </c>
    </row>
    <row r="22" spans="1:20" x14ac:dyDescent="0.35">
      <c r="A22">
        <f>'10.7'!A24</f>
        <v>2030</v>
      </c>
      <c r="B22" s="4">
        <f>'10.7'!B24*6.2929</f>
        <v>2982.8346000000001</v>
      </c>
      <c r="C22" s="4">
        <f>'10.7'!C24*6.2929</f>
        <v>320</v>
      </c>
      <c r="D22" s="4">
        <f>'10.7'!D24*6.2929</f>
        <v>261.15535</v>
      </c>
      <c r="E22" s="4">
        <f>'10.7'!E24*6.2929</f>
        <v>654.46160000000009</v>
      </c>
      <c r="F22" s="4">
        <f>'10.7'!F24*6.2929</f>
        <v>220.25150000000002</v>
      </c>
      <c r="G22" s="4">
        <f>'10.7'!G24*6.2929</f>
        <v>4719.6750000000002</v>
      </c>
      <c r="H22" s="4">
        <f>'10.7'!H24*6.2929</f>
        <v>748.85509999999999</v>
      </c>
      <c r="I22" s="4">
        <f>'10.7'!I24*6.2929</f>
        <v>364.98820000000001</v>
      </c>
      <c r="J22" s="4">
        <f>'10.7'!J24*6.2929</f>
        <v>5235.2934825188713</v>
      </c>
      <c r="K22" s="4">
        <f>'10.7'!K24*6.2929</f>
        <v>829.99999999999989</v>
      </c>
      <c r="L22" s="4">
        <f>'10.7'!L24*6.2929</f>
        <v>604.11840000000007</v>
      </c>
      <c r="M22" s="4">
        <f>'10.7'!M24*6.2929</f>
        <v>525</v>
      </c>
      <c r="N22" s="4">
        <f>'10.7'!N24*6.2929</f>
        <v>1100</v>
      </c>
      <c r="O22" s="4">
        <f>'10.7'!O24*6.2929</f>
        <v>7002.3075185039543</v>
      </c>
      <c r="P22" s="4">
        <f>'10.7'!P24*6.2929</f>
        <v>40.903850000000006</v>
      </c>
      <c r="Q22" s="4">
        <f>'10.7'!Q24*6.2929</f>
        <v>597.82550000000003</v>
      </c>
      <c r="R22" s="4">
        <f>'10.7'!R24*6.2929</f>
        <v>35796.420865663007</v>
      </c>
      <c r="S22" s="4">
        <f>'10.7'!S24*6.2929</f>
        <v>46916.06349271354</v>
      </c>
      <c r="T22" s="4">
        <f>'10.7'!T24*6.2929</f>
        <v>144.73670000000001</v>
      </c>
    </row>
    <row r="23" spans="1:20" x14ac:dyDescent="0.35">
      <c r="B23" s="4"/>
      <c r="C23" s="4"/>
      <c r="D23" s="4"/>
      <c r="E23" s="4"/>
      <c r="F23" s="4"/>
      <c r="G23" s="4"/>
      <c r="H23" s="4"/>
      <c r="I23" s="4"/>
      <c r="J23" s="4"/>
      <c r="K23" s="4"/>
      <c r="L23" s="4"/>
      <c r="M23" s="4"/>
      <c r="N23" s="4"/>
      <c r="O23" s="4"/>
      <c r="P23" s="4"/>
      <c r="Q23" s="4"/>
      <c r="R23" s="4"/>
      <c r="S23" s="4"/>
      <c r="T23" s="4"/>
    </row>
    <row r="24" spans="1:20" s="6" customFormat="1" ht="54.65" customHeight="1" x14ac:dyDescent="0.35">
      <c r="B24" s="7" t="s">
        <v>17</v>
      </c>
      <c r="C24" s="7" t="s">
        <v>18</v>
      </c>
      <c r="D24" s="7" t="s">
        <v>4</v>
      </c>
      <c r="E24" s="7" t="s">
        <v>19</v>
      </c>
      <c r="F24" s="7" t="s">
        <v>20</v>
      </c>
      <c r="G24" s="7" t="s">
        <v>21</v>
      </c>
      <c r="H24" s="7" t="s">
        <v>22</v>
      </c>
      <c r="I24" s="7" t="s">
        <v>23</v>
      </c>
      <c r="J24" s="42" t="s">
        <v>25</v>
      </c>
      <c r="K24" s="42"/>
      <c r="L24" s="42"/>
      <c r="M24" s="42" t="s">
        <v>24</v>
      </c>
      <c r="N24" s="42"/>
      <c r="O24" s="7"/>
      <c r="P24" s="7"/>
      <c r="Q24" s="7"/>
      <c r="R24" s="7"/>
      <c r="S24" s="7"/>
      <c r="T24" s="7"/>
    </row>
    <row r="25" spans="1:20" x14ac:dyDescent="0.35">
      <c r="A25" t="s">
        <v>15</v>
      </c>
      <c r="B25" s="4">
        <v>3241</v>
      </c>
      <c r="C25" s="4">
        <v>380</v>
      </c>
      <c r="D25" s="4">
        <v>598</v>
      </c>
      <c r="E25" s="4">
        <f>L22</f>
        <v>604.11840000000007</v>
      </c>
      <c r="F25" s="4">
        <v>261</v>
      </c>
      <c r="G25" s="4">
        <f>E25+F25</f>
        <v>865.11840000000007</v>
      </c>
      <c r="H25" s="4">
        <v>830</v>
      </c>
      <c r="I25" s="4">
        <v>541</v>
      </c>
      <c r="J25" s="43">
        <f>J22</f>
        <v>5235.2934825188713</v>
      </c>
      <c r="K25" s="43"/>
      <c r="L25" s="43"/>
      <c r="M25" s="43">
        <f>J10</f>
        <v>4194.0635988220683</v>
      </c>
      <c r="N25" s="43"/>
      <c r="O25" s="4"/>
      <c r="P25" s="4"/>
      <c r="Q25" s="4"/>
      <c r="R25" s="4"/>
      <c r="S25" s="4"/>
      <c r="T25" s="4"/>
    </row>
    <row r="26" spans="1:20" x14ac:dyDescent="0.35">
      <c r="A26" t="s">
        <v>16</v>
      </c>
      <c r="B26" s="4">
        <v>3679</v>
      </c>
      <c r="C26" s="4">
        <v>403</v>
      </c>
      <c r="D26" s="4">
        <v>561</v>
      </c>
      <c r="E26" s="4">
        <v>561</v>
      </c>
      <c r="F26" s="4">
        <v>314</v>
      </c>
      <c r="G26" s="4">
        <f>E26+F26</f>
        <v>875</v>
      </c>
      <c r="H26" s="4">
        <v>789</v>
      </c>
      <c r="I26" s="4">
        <v>662</v>
      </c>
      <c r="J26" s="43">
        <f>6012-I26+50+41</f>
        <v>5441</v>
      </c>
      <c r="K26" s="43"/>
      <c r="L26" s="43"/>
      <c r="M26" s="43">
        <f>4446-I26+50+41</f>
        <v>3875</v>
      </c>
      <c r="N26" s="43"/>
      <c r="O26" s="4"/>
      <c r="P26" s="4"/>
      <c r="Q26" s="4"/>
      <c r="R26" s="4"/>
      <c r="S26" s="4"/>
      <c r="T26" s="4"/>
    </row>
    <row r="27" spans="1:20" x14ac:dyDescent="0.35">
      <c r="B27" s="4"/>
      <c r="C27" s="4"/>
      <c r="D27" s="4"/>
      <c r="E27" s="4"/>
      <c r="F27" s="4"/>
      <c r="G27" s="4"/>
      <c r="H27" s="4"/>
      <c r="I27" s="4"/>
      <c r="J27" s="4"/>
      <c r="K27" s="4"/>
      <c r="L27" s="4"/>
      <c r="M27" s="4"/>
      <c r="N27" s="4"/>
      <c r="O27" s="4"/>
      <c r="P27" s="4"/>
      <c r="Q27" s="4"/>
      <c r="R27" s="4"/>
      <c r="S27" s="4"/>
      <c r="T27" s="4"/>
    </row>
    <row r="28" spans="1:20" x14ac:dyDescent="0.35">
      <c r="B28" s="4"/>
      <c r="C28" s="4"/>
      <c r="D28" s="4"/>
      <c r="E28" s="4"/>
      <c r="F28" s="4"/>
      <c r="G28" s="4"/>
      <c r="H28" s="4"/>
      <c r="I28" s="4"/>
      <c r="J28" s="4"/>
      <c r="K28" s="4"/>
      <c r="L28" s="4"/>
      <c r="M28" s="4"/>
      <c r="N28" s="4"/>
      <c r="O28" s="4"/>
      <c r="P28" s="4"/>
      <c r="Q28" s="4"/>
      <c r="R28" s="4"/>
      <c r="S28" s="4"/>
      <c r="T28" s="4"/>
    </row>
    <row r="29" spans="1:20" x14ac:dyDescent="0.35">
      <c r="B29" s="4"/>
      <c r="C29" s="4"/>
      <c r="D29" s="4"/>
      <c r="E29" s="4"/>
      <c r="F29" s="4"/>
      <c r="G29" s="4"/>
      <c r="H29" s="4"/>
      <c r="I29" s="4"/>
      <c r="J29" s="4"/>
      <c r="K29" s="4"/>
      <c r="L29" s="4"/>
      <c r="M29" s="4"/>
      <c r="N29" s="4"/>
      <c r="O29" s="4"/>
      <c r="P29" s="4"/>
      <c r="Q29" s="4"/>
      <c r="R29" s="4"/>
      <c r="S29" s="4"/>
      <c r="T29" s="4"/>
    </row>
    <row r="30" spans="1:20" x14ac:dyDescent="0.35">
      <c r="B30" s="4"/>
      <c r="C30" s="4"/>
      <c r="D30" s="4"/>
      <c r="E30" s="4"/>
      <c r="F30" s="4"/>
      <c r="G30" s="4"/>
      <c r="H30" s="4"/>
      <c r="I30" s="4"/>
      <c r="J30" s="4"/>
      <c r="K30" s="4"/>
      <c r="L30" s="4"/>
      <c r="M30" s="4"/>
      <c r="N30" s="4"/>
      <c r="O30" s="4"/>
      <c r="P30" s="4"/>
      <c r="Q30" s="4"/>
      <c r="R30" s="4"/>
      <c r="S30" s="4"/>
      <c r="T30" s="4"/>
    </row>
    <row r="31" spans="1:20" x14ac:dyDescent="0.35">
      <c r="B31" s="4"/>
      <c r="C31" s="4"/>
      <c r="D31" s="4"/>
      <c r="E31" s="4"/>
      <c r="F31" s="4"/>
      <c r="G31" s="4"/>
      <c r="H31" s="4"/>
      <c r="I31" s="4"/>
      <c r="J31" s="4"/>
      <c r="K31" s="4"/>
      <c r="L31" s="4"/>
      <c r="M31" s="4"/>
      <c r="N31" s="4"/>
      <c r="O31" s="4"/>
      <c r="P31" s="4"/>
      <c r="Q31" s="4"/>
      <c r="R31" s="4"/>
      <c r="S31" s="4"/>
      <c r="T31" s="4"/>
    </row>
    <row r="32" spans="1:20" x14ac:dyDescent="0.35">
      <c r="B32" s="4"/>
      <c r="C32" s="4"/>
      <c r="D32" s="4"/>
      <c r="E32" s="4"/>
      <c r="F32" s="4"/>
      <c r="G32" s="4"/>
      <c r="H32" s="4"/>
      <c r="I32" s="4"/>
      <c r="J32" s="4"/>
      <c r="K32" s="4"/>
      <c r="L32" s="4"/>
      <c r="M32" s="4"/>
      <c r="N32" s="4"/>
      <c r="O32" s="4"/>
      <c r="P32" s="4"/>
      <c r="Q32" s="4"/>
      <c r="R32" s="4"/>
      <c r="S32" s="4"/>
      <c r="T32" s="4"/>
    </row>
  </sheetData>
  <mergeCells count="6">
    <mergeCell ref="J24:L24"/>
    <mergeCell ref="J25:L25"/>
    <mergeCell ref="J26:L26"/>
    <mergeCell ref="M24:N24"/>
    <mergeCell ref="M25:N25"/>
    <mergeCell ref="M26:N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
  <sheetViews>
    <sheetView zoomScale="90" zoomScaleNormal="90" workbookViewId="0">
      <selection activeCell="Y4" sqref="Y4:Y44"/>
    </sheetView>
  </sheetViews>
  <sheetFormatPr defaultColWidth="10.7265625" defaultRowHeight="14" x14ac:dyDescent="0.3"/>
  <cols>
    <col min="1" max="16384" width="10.7265625" style="11"/>
  </cols>
  <sheetData>
    <row r="1" spans="1:30" x14ac:dyDescent="0.3">
      <c r="A1" s="10" t="s">
        <v>37</v>
      </c>
    </row>
    <row r="2" spans="1:30" x14ac:dyDescent="0.3">
      <c r="A2" s="12" t="s">
        <v>38</v>
      </c>
    </row>
    <row r="3" spans="1:30" x14ac:dyDescent="0.3">
      <c r="B3" s="11" t="s">
        <v>39</v>
      </c>
      <c r="C3" s="11" t="s">
        <v>2</v>
      </c>
      <c r="D3" s="11" t="s">
        <v>40</v>
      </c>
      <c r="E3" s="11" t="s">
        <v>41</v>
      </c>
      <c r="F3" s="11" t="s">
        <v>42</v>
      </c>
      <c r="G3" s="11" t="s">
        <v>1</v>
      </c>
      <c r="H3" s="11" t="s">
        <v>4</v>
      </c>
      <c r="I3" s="11" t="s">
        <v>43</v>
      </c>
      <c r="J3" s="11" t="s">
        <v>44</v>
      </c>
      <c r="K3" s="11" t="s">
        <v>45</v>
      </c>
      <c r="L3" s="11" t="s">
        <v>46</v>
      </c>
      <c r="M3" s="11" t="s">
        <v>47</v>
      </c>
      <c r="N3" s="11" t="s">
        <v>48</v>
      </c>
      <c r="O3" s="11" t="s">
        <v>49</v>
      </c>
      <c r="P3" s="11" t="s">
        <v>50</v>
      </c>
      <c r="Q3" s="11" t="s">
        <v>2</v>
      </c>
      <c r="R3" s="11" t="s">
        <v>40</v>
      </c>
      <c r="S3" s="11" t="s">
        <v>41</v>
      </c>
      <c r="T3" s="11" t="s">
        <v>5</v>
      </c>
      <c r="U3" s="11" t="s">
        <v>42</v>
      </c>
      <c r="V3" s="11" t="s">
        <v>1</v>
      </c>
      <c r="W3" s="11" t="s">
        <v>4</v>
      </c>
      <c r="X3" s="11" t="s">
        <v>43</v>
      </c>
      <c r="Y3" s="11" t="s">
        <v>44</v>
      </c>
      <c r="Z3" s="11" t="s">
        <v>45</v>
      </c>
      <c r="AA3" s="11" t="s">
        <v>46</v>
      </c>
    </row>
    <row r="4" spans="1:30" x14ac:dyDescent="0.3">
      <c r="A4" s="11">
        <v>2010</v>
      </c>
      <c r="B4" s="13">
        <v>2.1973096950688729</v>
      </c>
      <c r="C4" s="13">
        <v>0.27719062276367729</v>
      </c>
      <c r="D4" s="13">
        <v>9.6917721316300012E-2</v>
      </c>
      <c r="E4" s="13">
        <v>4.4100000000000014E-2</v>
      </c>
      <c r="F4" s="13">
        <v>0.29876549999999996</v>
      </c>
      <c r="G4" s="13">
        <v>2.0964427549999995</v>
      </c>
      <c r="H4" s="13">
        <v>0.10150749775246654</v>
      </c>
      <c r="I4" s="13">
        <v>0</v>
      </c>
      <c r="J4" s="13">
        <v>0</v>
      </c>
      <c r="K4" s="13">
        <v>0</v>
      </c>
      <c r="L4" s="13">
        <v>0</v>
      </c>
      <c r="M4" s="13">
        <f t="shared" ref="M4:M44" si="0">SUM(C4:L4)-K4</f>
        <v>2.9149240968324435</v>
      </c>
      <c r="N4" s="13">
        <v>2.1973096950688729</v>
      </c>
      <c r="O4" s="14">
        <f>N4-M4</f>
        <v>-0.71761440176357061</v>
      </c>
      <c r="P4" s="15">
        <f t="shared" ref="P4:P44" si="1">B4-M4</f>
        <v>-0.71761440176357061</v>
      </c>
      <c r="Q4" s="13">
        <f t="shared" ref="Q4:Q44" si="2">C4/6.2998*1000</f>
        <v>43.99990837227805</v>
      </c>
      <c r="R4" s="13">
        <f t="shared" ref="R4:R44" si="3">D4/6.2998*1000</f>
        <v>15.384253677307218</v>
      </c>
      <c r="S4" s="13">
        <f t="shared" ref="S4:S44" si="4">E4/6.2998*1000</f>
        <v>7.0002222292771217</v>
      </c>
      <c r="T4" s="13">
        <f>R4+S4</f>
        <v>22.384475906584338</v>
      </c>
      <c r="U4" s="13">
        <f t="shared" ref="U4:U44" si="5">F4/6.2998*1000</f>
        <v>47.424600780977165</v>
      </c>
      <c r="V4" s="13">
        <f>G4/6.2998*1000</f>
        <v>332.77925569065673</v>
      </c>
      <c r="W4" s="13">
        <f t="shared" ref="W4:W44" si="6">H4/6.2998*1000</f>
        <v>16.112812748415273</v>
      </c>
      <c r="X4" s="13">
        <f t="shared" ref="X4:X44" si="7">I4/6.2998*1000</f>
        <v>0</v>
      </c>
      <c r="Y4" s="13">
        <f t="shared" ref="Y4:Y44" si="8">J4/6.2998*1000</f>
        <v>0</v>
      </c>
      <c r="Z4" s="13">
        <f t="shared" ref="Z4:Z44" si="9">K4/6.2998*1000</f>
        <v>0</v>
      </c>
      <c r="AA4" s="13">
        <f t="shared" ref="AA4:AA44" si="10">L4/6.2998*1000</f>
        <v>0</v>
      </c>
      <c r="AB4" s="16"/>
      <c r="AC4" s="16"/>
      <c r="AD4" s="16"/>
    </row>
    <row r="5" spans="1:30" x14ac:dyDescent="0.3">
      <c r="A5" s="11">
        <v>2011</v>
      </c>
      <c r="B5" s="13">
        <v>2.419405475023428</v>
      </c>
      <c r="C5" s="13">
        <v>0.27719062276367729</v>
      </c>
      <c r="D5" s="13">
        <v>9.6917721316300012E-2</v>
      </c>
      <c r="E5" s="13">
        <v>4.4100000000000014E-2</v>
      </c>
      <c r="F5" s="13">
        <v>0.27360630000000002</v>
      </c>
      <c r="G5" s="13">
        <v>2.1699809999999999</v>
      </c>
      <c r="H5" s="13">
        <v>0.44583063300779002</v>
      </c>
      <c r="I5" s="13">
        <v>0</v>
      </c>
      <c r="J5" s="13">
        <v>0</v>
      </c>
      <c r="K5" s="13">
        <v>0</v>
      </c>
      <c r="L5" s="13">
        <v>0</v>
      </c>
      <c r="M5" s="13">
        <f t="shared" si="0"/>
        <v>3.3076262770877674</v>
      </c>
      <c r="N5" s="13">
        <v>2.419405475023428</v>
      </c>
      <c r="O5" s="14">
        <f t="shared" ref="O5:O44" si="11">N5-M5</f>
        <v>-0.8882208020643394</v>
      </c>
      <c r="P5" s="15">
        <f t="shared" si="1"/>
        <v>-0.8882208020643394</v>
      </c>
      <c r="Q5" s="13">
        <f t="shared" si="2"/>
        <v>43.99990837227805</v>
      </c>
      <c r="R5" s="13">
        <f t="shared" si="3"/>
        <v>15.384253677307218</v>
      </c>
      <c r="S5" s="13">
        <f t="shared" si="4"/>
        <v>7.0002222292771217</v>
      </c>
      <c r="T5" s="13">
        <f t="shared" ref="T5:T44" si="12">R5+S5</f>
        <v>22.384475906584338</v>
      </c>
      <c r="U5" s="13">
        <f t="shared" si="5"/>
        <v>43.43095018889489</v>
      </c>
      <c r="V5" s="13">
        <f t="shared" ref="V5:V44" si="13">G5/6.2998*1000</f>
        <v>344.45236356709734</v>
      </c>
      <c r="W5" s="13">
        <f t="shared" si="6"/>
        <v>70.769013779451726</v>
      </c>
      <c r="X5" s="13">
        <f t="shared" si="7"/>
        <v>0</v>
      </c>
      <c r="Y5" s="13">
        <f t="shared" si="8"/>
        <v>0</v>
      </c>
      <c r="Z5" s="13">
        <f t="shared" si="9"/>
        <v>0</v>
      </c>
      <c r="AA5" s="13">
        <f t="shared" si="10"/>
        <v>0</v>
      </c>
      <c r="AB5" s="16"/>
      <c r="AC5" s="16"/>
      <c r="AD5" s="16"/>
    </row>
    <row r="6" spans="1:30" x14ac:dyDescent="0.3">
      <c r="A6" s="11">
        <v>2012</v>
      </c>
      <c r="B6" s="13">
        <v>2.7109500984043824</v>
      </c>
      <c r="C6" s="13">
        <v>0.27719062276367729</v>
      </c>
      <c r="D6" s="13">
        <v>9.6917721316300012E-2</v>
      </c>
      <c r="E6" s="13">
        <v>4.4100000000000014E-2</v>
      </c>
      <c r="F6" s="13">
        <v>0.28094440000000004</v>
      </c>
      <c r="G6" s="13">
        <v>2.1482287750000002</v>
      </c>
      <c r="H6" s="13">
        <v>0.52815328008416373</v>
      </c>
      <c r="I6" s="13">
        <v>0</v>
      </c>
      <c r="J6" s="13">
        <v>0</v>
      </c>
      <c r="K6" s="13">
        <v>0</v>
      </c>
      <c r="L6" s="13">
        <v>4.619171188582754E-2</v>
      </c>
      <c r="M6" s="13">
        <f t="shared" si="0"/>
        <v>3.4217265110499686</v>
      </c>
      <c r="N6" s="13">
        <v>2.7109500984043824</v>
      </c>
      <c r="O6" s="14">
        <f t="shared" si="11"/>
        <v>-0.71077641264558622</v>
      </c>
      <c r="P6" s="15">
        <f t="shared" si="1"/>
        <v>-0.71077641264558622</v>
      </c>
      <c r="Q6" s="13">
        <f t="shared" si="2"/>
        <v>43.99990837227805</v>
      </c>
      <c r="R6" s="13">
        <f t="shared" si="3"/>
        <v>15.384253677307218</v>
      </c>
      <c r="S6" s="13">
        <f t="shared" si="4"/>
        <v>7.0002222292771217</v>
      </c>
      <c r="T6" s="13">
        <f t="shared" si="12"/>
        <v>22.384475906584338</v>
      </c>
      <c r="U6" s="13">
        <f t="shared" si="5"/>
        <v>44.595764944918891</v>
      </c>
      <c r="V6" s="13">
        <f t="shared" si="13"/>
        <v>340.99951982602624</v>
      </c>
      <c r="W6" s="13">
        <f t="shared" si="6"/>
        <v>83.8365154582945</v>
      </c>
      <c r="X6" s="13">
        <f t="shared" si="7"/>
        <v>0</v>
      </c>
      <c r="Y6" s="13">
        <f t="shared" si="8"/>
        <v>0</v>
      </c>
      <c r="Z6" s="13">
        <f t="shared" si="9"/>
        <v>0</v>
      </c>
      <c r="AA6" s="13">
        <f t="shared" si="10"/>
        <v>7.3322505295132441</v>
      </c>
      <c r="AB6" s="16"/>
      <c r="AC6" s="16"/>
      <c r="AD6" s="16"/>
    </row>
    <row r="7" spans="1:30" x14ac:dyDescent="0.3">
      <c r="A7" s="11">
        <v>2013</v>
      </c>
      <c r="B7" s="13">
        <v>2.9443746224211975</v>
      </c>
      <c r="C7" s="13">
        <v>0.27719062276367729</v>
      </c>
      <c r="D7" s="13">
        <v>9.6917721316300012E-2</v>
      </c>
      <c r="E7" s="13">
        <v>4.4100000000000014E-2</v>
      </c>
      <c r="F7" s="13">
        <v>0.27046139999999996</v>
      </c>
      <c r="G7" s="13">
        <v>2.2075211471499991</v>
      </c>
      <c r="H7" s="13">
        <v>0.52777187650000001</v>
      </c>
      <c r="I7" s="13">
        <v>0</v>
      </c>
      <c r="J7" s="13">
        <v>0</v>
      </c>
      <c r="K7" s="13">
        <v>0</v>
      </c>
      <c r="L7" s="13">
        <v>0.12607270954403987</v>
      </c>
      <c r="M7" s="13">
        <f t="shared" si="0"/>
        <v>3.5500354772740161</v>
      </c>
      <c r="N7" s="13">
        <v>2.9443746224211975</v>
      </c>
      <c r="O7" s="14">
        <f t="shared" si="11"/>
        <v>-0.60566085485281862</v>
      </c>
      <c r="P7" s="15">
        <f t="shared" si="1"/>
        <v>-0.60566085485281862</v>
      </c>
      <c r="Q7" s="13">
        <f t="shared" si="2"/>
        <v>43.99990837227805</v>
      </c>
      <c r="R7" s="13">
        <f t="shared" si="3"/>
        <v>15.384253677307218</v>
      </c>
      <c r="S7" s="13">
        <f t="shared" si="4"/>
        <v>7.0002222292771217</v>
      </c>
      <c r="T7" s="13">
        <f t="shared" si="12"/>
        <v>22.384475906584338</v>
      </c>
      <c r="U7" s="13">
        <f t="shared" si="5"/>
        <v>42.931743864884588</v>
      </c>
      <c r="V7" s="13">
        <f t="shared" si="13"/>
        <v>350.41130625575403</v>
      </c>
      <c r="W7" s="13">
        <f t="shared" si="6"/>
        <v>83.775973284866183</v>
      </c>
      <c r="X7" s="13">
        <f t="shared" si="7"/>
        <v>0</v>
      </c>
      <c r="Y7" s="13">
        <f t="shared" si="8"/>
        <v>0</v>
      </c>
      <c r="Z7" s="13">
        <f t="shared" si="9"/>
        <v>0</v>
      </c>
      <c r="AA7" s="13">
        <f t="shared" si="10"/>
        <v>20.012176504657269</v>
      </c>
      <c r="AB7" s="16"/>
      <c r="AC7" s="16"/>
      <c r="AD7" s="16"/>
    </row>
    <row r="8" spans="1:30" x14ac:dyDescent="0.3">
      <c r="A8" s="11">
        <v>2014</v>
      </c>
      <c r="B8" s="13">
        <v>3.1885073525520786</v>
      </c>
      <c r="C8" s="13">
        <v>0.27719062276367729</v>
      </c>
      <c r="D8" s="13">
        <v>9.6917721316300012E-2</v>
      </c>
      <c r="E8" s="13">
        <v>4.4100000000000014E-2</v>
      </c>
      <c r="F8" s="13">
        <v>0.28304099999999993</v>
      </c>
      <c r="G8" s="13">
        <v>2.3426166164499995</v>
      </c>
      <c r="H8" s="13">
        <v>0.53467493200000005</v>
      </c>
      <c r="I8" s="13">
        <v>0</v>
      </c>
      <c r="J8" s="13">
        <v>0</v>
      </c>
      <c r="K8" s="13">
        <v>0</v>
      </c>
      <c r="L8" s="13">
        <v>0.16096081548332217</v>
      </c>
      <c r="M8" s="13">
        <f t="shared" si="0"/>
        <v>3.7395017080132988</v>
      </c>
      <c r="N8" s="13">
        <v>3.1885073525520786</v>
      </c>
      <c r="O8" s="14">
        <f t="shared" si="11"/>
        <v>-0.55099435546122022</v>
      </c>
      <c r="P8" s="15">
        <f t="shared" si="1"/>
        <v>-0.55099435546122022</v>
      </c>
      <c r="Q8" s="13">
        <f t="shared" si="2"/>
        <v>43.99990837227805</v>
      </c>
      <c r="R8" s="13">
        <f t="shared" si="3"/>
        <v>15.384253677307218</v>
      </c>
      <c r="S8" s="13">
        <f t="shared" si="4"/>
        <v>7.0002222292771217</v>
      </c>
      <c r="T8" s="13">
        <f t="shared" si="12"/>
        <v>22.384475906584338</v>
      </c>
      <c r="U8" s="13">
        <f t="shared" si="5"/>
        <v>44.928569160925733</v>
      </c>
      <c r="V8" s="13">
        <f t="shared" si="13"/>
        <v>371.85571231626392</v>
      </c>
      <c r="W8" s="13">
        <f t="shared" si="6"/>
        <v>84.871731166068756</v>
      </c>
      <c r="X8" s="13">
        <f t="shared" si="7"/>
        <v>0</v>
      </c>
      <c r="Y8" s="13">
        <f t="shared" si="8"/>
        <v>0</v>
      </c>
      <c r="Z8" s="13">
        <f t="shared" si="9"/>
        <v>0</v>
      </c>
      <c r="AA8" s="13">
        <f t="shared" si="10"/>
        <v>25.550146906778334</v>
      </c>
      <c r="AB8" s="16"/>
      <c r="AC8" s="16"/>
      <c r="AD8" s="16"/>
    </row>
    <row r="9" spans="1:30" x14ac:dyDescent="0.3">
      <c r="A9" s="11">
        <v>2015</v>
      </c>
      <c r="B9" s="13">
        <v>3.4062024898869421</v>
      </c>
      <c r="C9" s="13">
        <v>0.27719062276367729</v>
      </c>
      <c r="D9" s="13">
        <v>9.6917721316300012E-2</v>
      </c>
      <c r="E9" s="13">
        <v>4.4100000000000014E-2</v>
      </c>
      <c r="F9" s="13">
        <v>0.30872434999999998</v>
      </c>
      <c r="G9" s="13">
        <v>2.5198034273499994</v>
      </c>
      <c r="H9" s="13">
        <v>0.57552718299999994</v>
      </c>
      <c r="I9" s="13">
        <v>0</v>
      </c>
      <c r="J9" s="13">
        <v>0</v>
      </c>
      <c r="K9" s="13">
        <v>0</v>
      </c>
      <c r="L9" s="13">
        <v>0.11121977742247903</v>
      </c>
      <c r="M9" s="13">
        <f t="shared" si="0"/>
        <v>3.9334830818524558</v>
      </c>
      <c r="N9" s="13">
        <v>3.4062024898869421</v>
      </c>
      <c r="O9" s="14">
        <f t="shared" si="11"/>
        <v>-0.52728059196551369</v>
      </c>
      <c r="P9" s="15">
        <f t="shared" si="1"/>
        <v>-0.52728059196551369</v>
      </c>
      <c r="Q9" s="13">
        <f t="shared" si="2"/>
        <v>43.99990837227805</v>
      </c>
      <c r="R9" s="13">
        <f t="shared" si="3"/>
        <v>15.384253677307218</v>
      </c>
      <c r="S9" s="13">
        <f t="shared" si="4"/>
        <v>7.0002222292771217</v>
      </c>
      <c r="T9" s="13">
        <f t="shared" si="12"/>
        <v>22.384475906584338</v>
      </c>
      <c r="U9" s="13">
        <f t="shared" si="5"/>
        <v>49.005420807009735</v>
      </c>
      <c r="V9" s="13">
        <f t="shared" si="13"/>
        <v>399.98149581732747</v>
      </c>
      <c r="W9" s="13">
        <f t="shared" si="6"/>
        <v>91.356421314962375</v>
      </c>
      <c r="X9" s="13">
        <f t="shared" si="7"/>
        <v>0</v>
      </c>
      <c r="Y9" s="13">
        <f t="shared" si="8"/>
        <v>0</v>
      </c>
      <c r="Z9" s="13">
        <f t="shared" si="9"/>
        <v>0</v>
      </c>
      <c r="AA9" s="13">
        <f t="shared" si="10"/>
        <v>17.654493384310459</v>
      </c>
      <c r="AB9" s="16"/>
      <c r="AC9" s="16"/>
      <c r="AD9" s="16"/>
    </row>
    <row r="10" spans="1:30" x14ac:dyDescent="0.3">
      <c r="A10" s="11">
        <v>2016</v>
      </c>
      <c r="B10" s="13">
        <v>3.4834416171135922</v>
      </c>
      <c r="C10" s="13">
        <v>0.27719062276367729</v>
      </c>
      <c r="D10" s="13">
        <v>9.6917721316300012E-2</v>
      </c>
      <c r="E10" s="13">
        <v>4.4100000000000014E-2</v>
      </c>
      <c r="F10" s="13">
        <v>0.31291754999999993</v>
      </c>
      <c r="G10" s="13">
        <v>2.7601340646000003</v>
      </c>
      <c r="H10" s="13">
        <v>0.57109287399999986</v>
      </c>
      <c r="I10" s="13">
        <v>0</v>
      </c>
      <c r="J10" s="13">
        <v>0</v>
      </c>
      <c r="K10" s="13">
        <v>0</v>
      </c>
      <c r="L10" s="13">
        <v>8.7890010443088556E-2</v>
      </c>
      <c r="M10" s="13">
        <f t="shared" si="0"/>
        <v>4.150242843123066</v>
      </c>
      <c r="N10" s="13">
        <v>3.4834416171135922</v>
      </c>
      <c r="O10" s="14">
        <f t="shared" si="11"/>
        <v>-0.66680122600947378</v>
      </c>
      <c r="P10" s="15">
        <f t="shared" si="1"/>
        <v>-0.66680122600947378</v>
      </c>
      <c r="Q10" s="13">
        <f t="shared" si="2"/>
        <v>43.99990837227805</v>
      </c>
      <c r="R10" s="13">
        <f t="shared" si="3"/>
        <v>15.384253677307218</v>
      </c>
      <c r="S10" s="13">
        <f t="shared" si="4"/>
        <v>7.0002222292771217</v>
      </c>
      <c r="T10" s="13">
        <f t="shared" si="12"/>
        <v>22.384475906584338</v>
      </c>
      <c r="U10" s="13">
        <f t="shared" si="5"/>
        <v>49.671029239023447</v>
      </c>
      <c r="V10" s="13">
        <f t="shared" si="13"/>
        <v>438.13042709292358</v>
      </c>
      <c r="W10" s="13">
        <f t="shared" si="6"/>
        <v>90.65254039810786</v>
      </c>
      <c r="X10" s="13">
        <f t="shared" si="7"/>
        <v>0</v>
      </c>
      <c r="Y10" s="13">
        <f t="shared" si="8"/>
        <v>0</v>
      </c>
      <c r="Z10" s="13">
        <f t="shared" si="9"/>
        <v>0</v>
      </c>
      <c r="AA10" s="13">
        <f t="shared" si="10"/>
        <v>13.951238204877702</v>
      </c>
      <c r="AB10" s="16"/>
      <c r="AC10" s="16"/>
      <c r="AD10" s="16"/>
    </row>
    <row r="11" spans="1:30" x14ac:dyDescent="0.3">
      <c r="A11" s="11">
        <v>2017</v>
      </c>
      <c r="B11" s="13">
        <v>3.7895915576742287</v>
      </c>
      <c r="C11" s="13">
        <v>0.27719062276367729</v>
      </c>
      <c r="D11" s="13">
        <v>9.6917721316300012E-2</v>
      </c>
      <c r="E11" s="13">
        <v>4.4100000000000014E-2</v>
      </c>
      <c r="F11" s="13">
        <v>0.30977264999999993</v>
      </c>
      <c r="G11" s="13">
        <v>2.8148579453499991</v>
      </c>
      <c r="H11" s="13">
        <v>0.58929660350000002</v>
      </c>
      <c r="I11" s="13">
        <v>0</v>
      </c>
      <c r="J11" s="13">
        <v>0</v>
      </c>
      <c r="K11" s="13">
        <v>0</v>
      </c>
      <c r="L11" s="13">
        <v>0.13188297149811215</v>
      </c>
      <c r="M11" s="13">
        <f t="shared" si="0"/>
        <v>4.2640185144280887</v>
      </c>
      <c r="N11" s="13">
        <v>3.7895915576742287</v>
      </c>
      <c r="O11" s="14">
        <f t="shared" si="11"/>
        <v>-0.47442695675385993</v>
      </c>
      <c r="P11" s="15">
        <f t="shared" si="1"/>
        <v>-0.47442695675385993</v>
      </c>
      <c r="Q11" s="13">
        <f t="shared" si="2"/>
        <v>43.99990837227805</v>
      </c>
      <c r="R11" s="13">
        <f t="shared" si="3"/>
        <v>15.384253677307218</v>
      </c>
      <c r="S11" s="13">
        <f t="shared" si="4"/>
        <v>7.0002222292771217</v>
      </c>
      <c r="T11" s="13">
        <f t="shared" si="12"/>
        <v>22.384475906584338</v>
      </c>
      <c r="U11" s="13">
        <f t="shared" si="5"/>
        <v>49.171822915013159</v>
      </c>
      <c r="V11" s="13">
        <f t="shared" si="13"/>
        <v>446.81703313597245</v>
      </c>
      <c r="W11" s="13">
        <f t="shared" si="6"/>
        <v>93.542113003587417</v>
      </c>
      <c r="X11" s="13">
        <f t="shared" si="7"/>
        <v>0</v>
      </c>
      <c r="Y11" s="13">
        <f t="shared" si="8"/>
        <v>0</v>
      </c>
      <c r="Z11" s="13">
        <f t="shared" si="9"/>
        <v>0</v>
      </c>
      <c r="AA11" s="13">
        <f t="shared" si="10"/>
        <v>20.934469586036403</v>
      </c>
      <c r="AB11" s="16"/>
      <c r="AC11" s="16"/>
      <c r="AD11" s="16"/>
    </row>
    <row r="12" spans="1:30" x14ac:dyDescent="0.3">
      <c r="A12" s="11">
        <v>2018</v>
      </c>
      <c r="B12" s="13">
        <v>4.1730590986435558</v>
      </c>
      <c r="C12" s="13">
        <v>0.27719062276367729</v>
      </c>
      <c r="D12" s="13">
        <v>9.6917721316300012E-2</v>
      </c>
      <c r="E12" s="13">
        <v>4.4100000000000014E-2</v>
      </c>
      <c r="F12" s="13">
        <v>0.28880665</v>
      </c>
      <c r="G12" s="13">
        <v>2.7771401113499996</v>
      </c>
      <c r="H12" s="13">
        <v>0.58923370549999998</v>
      </c>
      <c r="I12" s="13">
        <v>0</v>
      </c>
      <c r="J12" s="13">
        <v>0</v>
      </c>
      <c r="K12" s="13">
        <v>0</v>
      </c>
      <c r="L12" s="13">
        <v>0.24156875373938688</v>
      </c>
      <c r="M12" s="13">
        <f t="shared" si="0"/>
        <v>4.3149575646693634</v>
      </c>
      <c r="N12" s="13">
        <v>4.1730590986435558</v>
      </c>
      <c r="O12" s="14">
        <f t="shared" si="11"/>
        <v>-0.14189846602580758</v>
      </c>
      <c r="P12" s="15">
        <f t="shared" si="1"/>
        <v>-0.14189846602580758</v>
      </c>
      <c r="Q12" s="13">
        <f t="shared" si="2"/>
        <v>43.99990837227805</v>
      </c>
      <c r="R12" s="13">
        <f t="shared" si="3"/>
        <v>15.384253677307218</v>
      </c>
      <c r="S12" s="13">
        <f t="shared" si="4"/>
        <v>7.0002222292771217</v>
      </c>
      <c r="T12" s="13">
        <f t="shared" si="12"/>
        <v>22.384475906584338</v>
      </c>
      <c r="U12" s="13">
        <f t="shared" si="5"/>
        <v>45.843780754944603</v>
      </c>
      <c r="V12" s="13">
        <f t="shared" si="13"/>
        <v>440.82988529000909</v>
      </c>
      <c r="W12" s="13">
        <f t="shared" si="6"/>
        <v>93.532128877107198</v>
      </c>
      <c r="X12" s="13">
        <f t="shared" si="7"/>
        <v>0</v>
      </c>
      <c r="Y12" s="13">
        <f t="shared" si="8"/>
        <v>0</v>
      </c>
      <c r="Z12" s="13">
        <f t="shared" si="9"/>
        <v>0</v>
      </c>
      <c r="AA12" s="13">
        <f t="shared" si="10"/>
        <v>38.345463941615108</v>
      </c>
      <c r="AB12" s="16"/>
      <c r="AC12" s="16"/>
      <c r="AD12" s="16"/>
    </row>
    <row r="13" spans="1:30" x14ac:dyDescent="0.3">
      <c r="A13" s="11">
        <v>2019</v>
      </c>
      <c r="B13" s="13">
        <v>4.184628944443797</v>
      </c>
      <c r="C13" s="13">
        <v>0.27719062276367729</v>
      </c>
      <c r="D13" s="13">
        <v>9.6917721316300012E-2</v>
      </c>
      <c r="E13" s="13">
        <v>4.9100000000000019E-2</v>
      </c>
      <c r="F13" s="13">
        <v>0.31553829999999994</v>
      </c>
      <c r="G13" s="13">
        <v>2.819778665549999</v>
      </c>
      <c r="H13" s="13">
        <v>0.58419138250000002</v>
      </c>
      <c r="I13" s="13">
        <v>0</v>
      </c>
      <c r="J13" s="13">
        <v>0</v>
      </c>
      <c r="K13" s="13">
        <v>0</v>
      </c>
      <c r="L13" s="13">
        <v>0.28027212286483555</v>
      </c>
      <c r="M13" s="13">
        <f t="shared" si="0"/>
        <v>4.4229888149948122</v>
      </c>
      <c r="N13" s="13">
        <v>4.1848048841271313</v>
      </c>
      <c r="O13" s="14">
        <f t="shared" si="11"/>
        <v>-0.23818393086768097</v>
      </c>
      <c r="P13" s="15">
        <f t="shared" si="1"/>
        <v>-0.23835987055101526</v>
      </c>
      <c r="Q13" s="13">
        <f t="shared" si="2"/>
        <v>43.99990837227805</v>
      </c>
      <c r="R13" s="13">
        <f t="shared" si="3"/>
        <v>15.384253677307218</v>
      </c>
      <c r="S13" s="13">
        <f t="shared" si="4"/>
        <v>7.7938982189910817</v>
      </c>
      <c r="T13" s="13">
        <f t="shared" si="12"/>
        <v>23.178151896298299</v>
      </c>
      <c r="U13" s="13">
        <f t="shared" si="5"/>
        <v>50.087034509032023</v>
      </c>
      <c r="V13" s="13">
        <f t="shared" si="13"/>
        <v>447.5981246309405</v>
      </c>
      <c r="W13" s="13">
        <f t="shared" si="6"/>
        <v>92.731734737610722</v>
      </c>
      <c r="X13" s="13">
        <f t="shared" si="7"/>
        <v>0</v>
      </c>
      <c r="Y13" s="13">
        <f t="shared" si="8"/>
        <v>0</v>
      </c>
      <c r="Z13" s="13">
        <f t="shared" si="9"/>
        <v>0</v>
      </c>
      <c r="AA13" s="13">
        <f t="shared" si="10"/>
        <v>44.489050900796144</v>
      </c>
      <c r="AB13" s="16"/>
      <c r="AC13" s="16"/>
      <c r="AD13" s="16"/>
    </row>
    <row r="14" spans="1:30" x14ac:dyDescent="0.3">
      <c r="A14" s="11">
        <v>2020</v>
      </c>
      <c r="B14" s="13">
        <v>3.6508161200331104</v>
      </c>
      <c r="C14" s="13">
        <v>0.31094062276367701</v>
      </c>
      <c r="D14" s="13">
        <v>9.6917721316300012E-2</v>
      </c>
      <c r="E14" s="13">
        <v>0.10659999999999999</v>
      </c>
      <c r="F14" s="13">
        <v>0.30191039999999991</v>
      </c>
      <c r="G14" s="13">
        <v>2.9605185786833332</v>
      </c>
      <c r="H14" s="13">
        <v>0.57711011599999995</v>
      </c>
      <c r="I14" s="13">
        <v>0.04</v>
      </c>
      <c r="J14" s="13">
        <v>0</v>
      </c>
      <c r="K14" s="13">
        <v>0</v>
      </c>
      <c r="L14" s="13">
        <v>0.15351777276905296</v>
      </c>
      <c r="M14" s="13">
        <f t="shared" si="0"/>
        <v>4.5475152115323629</v>
      </c>
      <c r="N14" s="13">
        <v>3.6422656533456581</v>
      </c>
      <c r="O14" s="14">
        <f t="shared" si="11"/>
        <v>-0.90524955818670483</v>
      </c>
      <c r="P14" s="15">
        <f t="shared" si="1"/>
        <v>-0.89669909149925253</v>
      </c>
      <c r="Q14" s="13">
        <f t="shared" si="2"/>
        <v>49.357221302847236</v>
      </c>
      <c r="R14" s="13">
        <f t="shared" si="3"/>
        <v>15.384253677307218</v>
      </c>
      <c r="S14" s="13">
        <f t="shared" si="4"/>
        <v>16.921172100701604</v>
      </c>
      <c r="T14" s="13">
        <f t="shared" si="12"/>
        <v>32.305425778008825</v>
      </c>
      <c r="U14" s="13">
        <f t="shared" si="5"/>
        <v>47.923807104987439</v>
      </c>
      <c r="V14" s="13">
        <f t="shared" si="13"/>
        <v>469.93850260061157</v>
      </c>
      <c r="W14" s="13">
        <f t="shared" si="6"/>
        <v>91.607688498047537</v>
      </c>
      <c r="X14" s="13">
        <f t="shared" si="7"/>
        <v>6.349407917711674</v>
      </c>
      <c r="Y14" s="13">
        <f t="shared" si="8"/>
        <v>0</v>
      </c>
      <c r="Z14" s="13">
        <f t="shared" si="9"/>
        <v>0</v>
      </c>
      <c r="AA14" s="13">
        <f t="shared" si="10"/>
        <v>24.368674048232158</v>
      </c>
      <c r="AB14" s="16"/>
      <c r="AC14" s="16"/>
      <c r="AD14" s="16"/>
    </row>
    <row r="15" spans="1:30" x14ac:dyDescent="0.3">
      <c r="A15" s="11">
        <v>2021</v>
      </c>
      <c r="B15" s="13">
        <v>4.0429381350866658</v>
      </c>
      <c r="C15" s="13">
        <v>0.32219062276367699</v>
      </c>
      <c r="D15" s="13">
        <v>9.6917721316300012E-2</v>
      </c>
      <c r="E15" s="13">
        <v>0.12409999999999997</v>
      </c>
      <c r="F15" s="13">
        <v>0.30945816000000004</v>
      </c>
      <c r="G15" s="13">
        <v>2.9798788521999997</v>
      </c>
      <c r="H15" s="13">
        <v>0.57711011599999995</v>
      </c>
      <c r="I15" s="13">
        <v>0.18</v>
      </c>
      <c r="J15" s="13">
        <v>0</v>
      </c>
      <c r="K15" s="13">
        <v>0</v>
      </c>
      <c r="L15" s="13">
        <v>0.15128609766656001</v>
      </c>
      <c r="M15" s="13">
        <f t="shared" si="0"/>
        <v>4.7409415699465365</v>
      </c>
      <c r="N15" s="13">
        <v>4.1428797951495246</v>
      </c>
      <c r="O15" s="14">
        <f t="shared" si="11"/>
        <v>-0.59806177479701184</v>
      </c>
      <c r="P15" s="15">
        <f t="shared" si="1"/>
        <v>-0.69800343485987071</v>
      </c>
      <c r="Q15" s="13">
        <f t="shared" si="2"/>
        <v>51.142992279703641</v>
      </c>
      <c r="R15" s="13">
        <f t="shared" si="3"/>
        <v>15.384253677307218</v>
      </c>
      <c r="S15" s="13">
        <f t="shared" si="4"/>
        <v>19.699038064700463</v>
      </c>
      <c r="T15" s="13">
        <f t="shared" si="12"/>
        <v>35.083291742007681</v>
      </c>
      <c r="U15" s="13">
        <f t="shared" si="5"/>
        <v>49.121902282612155</v>
      </c>
      <c r="V15" s="13">
        <f t="shared" si="13"/>
        <v>473.01165944950623</v>
      </c>
      <c r="W15" s="13">
        <f t="shared" si="6"/>
        <v>91.607688498047537</v>
      </c>
      <c r="X15" s="13">
        <f t="shared" si="7"/>
        <v>28.572335629702525</v>
      </c>
      <c r="Y15" s="13">
        <f t="shared" si="8"/>
        <v>0</v>
      </c>
      <c r="Z15" s="13">
        <f t="shared" si="9"/>
        <v>0</v>
      </c>
      <c r="AA15" s="13">
        <f t="shared" si="10"/>
        <v>24.014428659093941</v>
      </c>
      <c r="AB15" s="16"/>
      <c r="AC15" s="16"/>
      <c r="AD15" s="16"/>
    </row>
    <row r="16" spans="1:30" x14ac:dyDescent="0.3">
      <c r="A16" s="11">
        <v>2022</v>
      </c>
      <c r="B16" s="13">
        <v>4.314118712019555</v>
      </c>
      <c r="C16" s="13">
        <v>0.32219062276367699</v>
      </c>
      <c r="D16" s="13">
        <v>9.6917721316300012E-2</v>
      </c>
      <c r="E16" s="13">
        <v>0.12409999999999997</v>
      </c>
      <c r="F16" s="13">
        <v>0.30945816000000004</v>
      </c>
      <c r="G16" s="13">
        <v>2.9798788521999997</v>
      </c>
      <c r="H16" s="13">
        <v>0.64794344933333325</v>
      </c>
      <c r="I16" s="13">
        <v>0.33</v>
      </c>
      <c r="J16" s="13">
        <v>0</v>
      </c>
      <c r="K16" s="13">
        <v>0</v>
      </c>
      <c r="L16" s="13">
        <v>0.17499999999999999</v>
      </c>
      <c r="M16" s="13">
        <f t="shared" si="0"/>
        <v>4.9854888056133095</v>
      </c>
      <c r="N16" s="13">
        <v>4.4076334837896027</v>
      </c>
      <c r="O16" s="14">
        <f t="shared" si="11"/>
        <v>-0.5778553218237068</v>
      </c>
      <c r="P16" s="15">
        <f t="shared" si="1"/>
        <v>-0.67137009359375455</v>
      </c>
      <c r="Q16" s="13">
        <f t="shared" si="2"/>
        <v>51.142992279703641</v>
      </c>
      <c r="R16" s="13">
        <f t="shared" si="3"/>
        <v>15.384253677307218</v>
      </c>
      <c r="S16" s="13">
        <f t="shared" si="4"/>
        <v>19.699038064700463</v>
      </c>
      <c r="T16" s="13">
        <f t="shared" si="12"/>
        <v>35.083291742007681</v>
      </c>
      <c r="U16" s="13">
        <f t="shared" si="5"/>
        <v>49.121902282612155</v>
      </c>
      <c r="V16" s="13">
        <f t="shared" si="13"/>
        <v>473.01165944950623</v>
      </c>
      <c r="W16" s="13">
        <f t="shared" si="6"/>
        <v>102.85143168566196</v>
      </c>
      <c r="X16" s="13">
        <f t="shared" si="7"/>
        <v>52.382615321121307</v>
      </c>
      <c r="Y16" s="13">
        <f t="shared" si="8"/>
        <v>0</v>
      </c>
      <c r="Z16" s="13">
        <f t="shared" si="9"/>
        <v>0</v>
      </c>
      <c r="AA16" s="13">
        <f t="shared" si="10"/>
        <v>27.778659639988565</v>
      </c>
      <c r="AB16" s="16"/>
      <c r="AC16" s="16"/>
      <c r="AD16" s="16"/>
    </row>
    <row r="17" spans="1:30" x14ac:dyDescent="0.3">
      <c r="A17" s="11">
        <v>2023</v>
      </c>
      <c r="B17" s="13">
        <v>4.3668224053617983</v>
      </c>
      <c r="C17" s="13">
        <v>0.32219062276367699</v>
      </c>
      <c r="D17" s="13">
        <v>9.6917721316300012E-2</v>
      </c>
      <c r="E17" s="13">
        <v>0.12409999999999997</v>
      </c>
      <c r="F17" s="13">
        <v>0.30945816000000004</v>
      </c>
      <c r="G17" s="13">
        <v>2.9798788521999997</v>
      </c>
      <c r="H17" s="13">
        <v>0.65211011599999991</v>
      </c>
      <c r="I17" s="13">
        <v>0.33</v>
      </c>
      <c r="J17" s="13">
        <v>0.46833333333333332</v>
      </c>
      <c r="K17" s="13">
        <v>0.36</v>
      </c>
      <c r="L17" s="13">
        <v>0.17499999999999999</v>
      </c>
      <c r="M17" s="13">
        <f t="shared" si="0"/>
        <v>5.4579888056133106</v>
      </c>
      <c r="N17" s="13">
        <v>4.512773693378457</v>
      </c>
      <c r="O17" s="14">
        <f t="shared" si="11"/>
        <v>-0.94521511223485355</v>
      </c>
      <c r="P17" s="15">
        <f t="shared" si="1"/>
        <v>-1.0911664002515122</v>
      </c>
      <c r="Q17" s="13">
        <f t="shared" si="2"/>
        <v>51.142992279703641</v>
      </c>
      <c r="R17" s="13">
        <f t="shared" si="3"/>
        <v>15.384253677307218</v>
      </c>
      <c r="S17" s="13">
        <f t="shared" si="4"/>
        <v>19.699038064700463</v>
      </c>
      <c r="T17" s="13">
        <f t="shared" si="12"/>
        <v>35.083291742007681</v>
      </c>
      <c r="U17" s="13">
        <f t="shared" si="5"/>
        <v>49.121902282612155</v>
      </c>
      <c r="V17" s="13">
        <f t="shared" si="13"/>
        <v>473.01165944950623</v>
      </c>
      <c r="W17" s="13">
        <f t="shared" si="6"/>
        <v>103.51282834375692</v>
      </c>
      <c r="X17" s="13">
        <f t="shared" si="7"/>
        <v>52.382615321121307</v>
      </c>
      <c r="Y17" s="13">
        <f t="shared" si="8"/>
        <v>74.340984369874178</v>
      </c>
      <c r="Z17" s="13">
        <f t="shared" si="9"/>
        <v>57.144671259405051</v>
      </c>
      <c r="AA17" s="13">
        <f t="shared" si="10"/>
        <v>27.778659639988565</v>
      </c>
      <c r="AB17" s="16"/>
      <c r="AC17" s="16"/>
      <c r="AD17" s="16"/>
    </row>
    <row r="18" spans="1:30" x14ac:dyDescent="0.3">
      <c r="A18" s="11">
        <v>2024</v>
      </c>
      <c r="B18" s="13">
        <v>4.4207918651055653</v>
      </c>
      <c r="C18" s="13">
        <v>0.32219062276367699</v>
      </c>
      <c r="D18" s="13">
        <v>9.6917721316300012E-2</v>
      </c>
      <c r="E18" s="13">
        <v>0.12409999999999997</v>
      </c>
      <c r="F18" s="13">
        <v>0.30945816000000004</v>
      </c>
      <c r="G18" s="13">
        <v>2.9798788521999997</v>
      </c>
      <c r="H18" s="13">
        <v>0.65211011599999991</v>
      </c>
      <c r="I18" s="13">
        <v>0.33</v>
      </c>
      <c r="J18" s="13">
        <v>0.54</v>
      </c>
      <c r="K18" s="13">
        <v>0.83</v>
      </c>
      <c r="L18" s="13">
        <v>0.17499999999999999</v>
      </c>
      <c r="M18" s="13">
        <f t="shared" si="0"/>
        <v>5.5296554722799769</v>
      </c>
      <c r="N18" s="13">
        <v>4.6314898933298094</v>
      </c>
      <c r="O18" s="14">
        <f t="shared" si="11"/>
        <v>-0.89816557895016746</v>
      </c>
      <c r="P18" s="15">
        <f t="shared" si="1"/>
        <v>-1.1088636071744116</v>
      </c>
      <c r="Q18" s="13">
        <f t="shared" si="2"/>
        <v>51.142992279703641</v>
      </c>
      <c r="R18" s="13">
        <f t="shared" si="3"/>
        <v>15.384253677307218</v>
      </c>
      <c r="S18" s="13">
        <f t="shared" si="4"/>
        <v>19.699038064700463</v>
      </c>
      <c r="T18" s="13">
        <f t="shared" si="12"/>
        <v>35.083291742007681</v>
      </c>
      <c r="U18" s="13">
        <f t="shared" si="5"/>
        <v>49.121902282612155</v>
      </c>
      <c r="V18" s="13">
        <f t="shared" si="13"/>
        <v>473.01165944950623</v>
      </c>
      <c r="W18" s="13">
        <f t="shared" si="6"/>
        <v>103.51282834375692</v>
      </c>
      <c r="X18" s="13">
        <f t="shared" si="7"/>
        <v>52.382615321121307</v>
      </c>
      <c r="Y18" s="13">
        <f t="shared" si="8"/>
        <v>85.717006889107594</v>
      </c>
      <c r="Z18" s="13">
        <f t="shared" si="9"/>
        <v>131.7502142925172</v>
      </c>
      <c r="AA18" s="13">
        <f t="shared" si="10"/>
        <v>27.778659639988565</v>
      </c>
      <c r="AB18" s="16"/>
      <c r="AC18" s="16"/>
      <c r="AD18" s="16"/>
    </row>
    <row r="19" spans="1:30" x14ac:dyDescent="0.3">
      <c r="A19" s="11">
        <v>2025</v>
      </c>
      <c r="B19" s="13">
        <v>4.4923948729528105</v>
      </c>
      <c r="C19" s="13">
        <v>0.32219062276367699</v>
      </c>
      <c r="D19" s="13">
        <v>9.6917721316300012E-2</v>
      </c>
      <c r="E19" s="13">
        <v>0.12409999999999997</v>
      </c>
      <c r="F19" s="13">
        <v>0.30945816000000004</v>
      </c>
      <c r="G19" s="13">
        <v>2.9798788521999997</v>
      </c>
      <c r="H19" s="13">
        <v>0.65211011599999991</v>
      </c>
      <c r="I19" s="13">
        <v>0.33</v>
      </c>
      <c r="J19" s="13">
        <v>0.54</v>
      </c>
      <c r="K19" s="13">
        <v>0.83</v>
      </c>
      <c r="L19" s="13">
        <v>0.17499999999999999</v>
      </c>
      <c r="M19" s="13">
        <f t="shared" si="0"/>
        <v>5.5296554722799769</v>
      </c>
      <c r="N19" s="13">
        <v>4.7771395609929463</v>
      </c>
      <c r="O19" s="14">
        <f t="shared" si="11"/>
        <v>-0.75251591128703055</v>
      </c>
      <c r="P19" s="15">
        <f t="shared" si="1"/>
        <v>-1.0372605993271664</v>
      </c>
      <c r="Q19" s="13">
        <f t="shared" si="2"/>
        <v>51.142992279703641</v>
      </c>
      <c r="R19" s="13">
        <f t="shared" si="3"/>
        <v>15.384253677307218</v>
      </c>
      <c r="S19" s="13">
        <f t="shared" si="4"/>
        <v>19.699038064700463</v>
      </c>
      <c r="T19" s="13">
        <f t="shared" si="12"/>
        <v>35.083291742007681</v>
      </c>
      <c r="U19" s="13">
        <f t="shared" si="5"/>
        <v>49.121902282612155</v>
      </c>
      <c r="V19" s="13">
        <f t="shared" si="13"/>
        <v>473.01165944950623</v>
      </c>
      <c r="W19" s="13">
        <f t="shared" si="6"/>
        <v>103.51282834375692</v>
      </c>
      <c r="X19" s="13">
        <f t="shared" si="7"/>
        <v>52.382615321121307</v>
      </c>
      <c r="Y19" s="13">
        <f t="shared" si="8"/>
        <v>85.717006889107594</v>
      </c>
      <c r="Z19" s="13">
        <f t="shared" si="9"/>
        <v>131.7502142925172</v>
      </c>
      <c r="AA19" s="13">
        <f t="shared" si="10"/>
        <v>27.778659639988565</v>
      </c>
      <c r="AB19" s="16"/>
      <c r="AC19" s="16"/>
      <c r="AD19" s="16"/>
    </row>
    <row r="20" spans="1:30" x14ac:dyDescent="0.3">
      <c r="A20" s="11">
        <v>2026</v>
      </c>
      <c r="B20" s="13">
        <v>4.5306574251215999</v>
      </c>
      <c r="C20" s="13">
        <v>0.32219062276367699</v>
      </c>
      <c r="D20" s="13">
        <v>9.6917721316300012E-2</v>
      </c>
      <c r="E20" s="13">
        <v>0.12409999999999997</v>
      </c>
      <c r="F20" s="13">
        <v>0.30945816000000004</v>
      </c>
      <c r="G20" s="13">
        <v>2.9798788521999997</v>
      </c>
      <c r="H20" s="13">
        <v>0.65211011599999991</v>
      </c>
      <c r="I20" s="13">
        <v>0.33</v>
      </c>
      <c r="J20" s="13">
        <v>0.54</v>
      </c>
      <c r="K20" s="13">
        <v>0.83</v>
      </c>
      <c r="L20" s="13">
        <v>0.17499999999999999</v>
      </c>
      <c r="M20" s="13">
        <f t="shared" si="0"/>
        <v>5.5296554722799769</v>
      </c>
      <c r="N20" s="13">
        <v>4.9090790427053603</v>
      </c>
      <c r="O20" s="14">
        <f t="shared" si="11"/>
        <v>-0.62057642957461656</v>
      </c>
      <c r="P20" s="15">
        <f t="shared" si="1"/>
        <v>-0.99899804715837703</v>
      </c>
      <c r="Q20" s="13">
        <f t="shared" si="2"/>
        <v>51.142992279703641</v>
      </c>
      <c r="R20" s="13">
        <f t="shared" si="3"/>
        <v>15.384253677307218</v>
      </c>
      <c r="S20" s="13">
        <f t="shared" si="4"/>
        <v>19.699038064700463</v>
      </c>
      <c r="T20" s="13">
        <f t="shared" si="12"/>
        <v>35.083291742007681</v>
      </c>
      <c r="U20" s="13">
        <f t="shared" si="5"/>
        <v>49.121902282612155</v>
      </c>
      <c r="V20" s="13">
        <f t="shared" si="13"/>
        <v>473.01165944950623</v>
      </c>
      <c r="W20" s="13">
        <f t="shared" si="6"/>
        <v>103.51282834375692</v>
      </c>
      <c r="X20" s="13">
        <f t="shared" si="7"/>
        <v>52.382615321121307</v>
      </c>
      <c r="Y20" s="13">
        <f t="shared" si="8"/>
        <v>85.717006889107594</v>
      </c>
      <c r="Z20" s="13">
        <f t="shared" si="9"/>
        <v>131.7502142925172</v>
      </c>
      <c r="AA20" s="13">
        <f t="shared" si="10"/>
        <v>27.778659639988565</v>
      </c>
      <c r="AB20" s="16"/>
      <c r="AC20" s="16"/>
      <c r="AD20" s="16"/>
    </row>
    <row r="21" spans="1:30" x14ac:dyDescent="0.3">
      <c r="A21" s="11">
        <v>2027</v>
      </c>
      <c r="B21" s="13">
        <v>4.602996144094643</v>
      </c>
      <c r="C21" s="13">
        <v>0.32219062276367699</v>
      </c>
      <c r="D21" s="13">
        <v>9.6917721316300012E-2</v>
      </c>
      <c r="E21" s="13">
        <v>0.12409999999999997</v>
      </c>
      <c r="F21" s="13">
        <v>0.30945816000000004</v>
      </c>
      <c r="G21" s="13">
        <v>2.9798788521999997</v>
      </c>
      <c r="H21" s="13">
        <v>0.65211011599999991</v>
      </c>
      <c r="I21" s="13">
        <v>0.33</v>
      </c>
      <c r="J21" s="13">
        <v>0.54</v>
      </c>
      <c r="K21" s="13">
        <v>0.83</v>
      </c>
      <c r="L21" s="13">
        <v>0.17499999999999999</v>
      </c>
      <c r="M21" s="13">
        <f t="shared" si="0"/>
        <v>5.5296554722799769</v>
      </c>
      <c r="N21" s="13">
        <v>5.0768238666018268</v>
      </c>
      <c r="O21" s="14">
        <f t="shared" si="11"/>
        <v>-0.45283160567815006</v>
      </c>
      <c r="P21" s="15">
        <f t="shared" si="1"/>
        <v>-0.92665932818533392</v>
      </c>
      <c r="Q21" s="13">
        <f t="shared" si="2"/>
        <v>51.142992279703641</v>
      </c>
      <c r="R21" s="13">
        <f t="shared" si="3"/>
        <v>15.384253677307218</v>
      </c>
      <c r="S21" s="13">
        <f t="shared" si="4"/>
        <v>19.699038064700463</v>
      </c>
      <c r="T21" s="13">
        <f t="shared" si="12"/>
        <v>35.083291742007681</v>
      </c>
      <c r="U21" s="13">
        <f t="shared" si="5"/>
        <v>49.121902282612155</v>
      </c>
      <c r="V21" s="13">
        <f t="shared" si="13"/>
        <v>473.01165944950623</v>
      </c>
      <c r="W21" s="13">
        <f t="shared" si="6"/>
        <v>103.51282834375692</v>
      </c>
      <c r="X21" s="13">
        <f t="shared" si="7"/>
        <v>52.382615321121307</v>
      </c>
      <c r="Y21" s="13">
        <f t="shared" si="8"/>
        <v>85.717006889107594</v>
      </c>
      <c r="Z21" s="13">
        <f t="shared" si="9"/>
        <v>131.7502142925172</v>
      </c>
      <c r="AA21" s="13">
        <f t="shared" si="10"/>
        <v>27.778659639988565</v>
      </c>
      <c r="AB21" s="16"/>
      <c r="AC21" s="16"/>
      <c r="AD21" s="16"/>
    </row>
    <row r="22" spans="1:30" x14ac:dyDescent="0.3">
      <c r="A22" s="11">
        <v>2028</v>
      </c>
      <c r="B22" s="13">
        <v>4.6606683130572408</v>
      </c>
      <c r="C22" s="13">
        <v>0.32219062276367699</v>
      </c>
      <c r="D22" s="13">
        <v>9.6917721316300012E-2</v>
      </c>
      <c r="E22" s="13">
        <v>0.12409999999999997</v>
      </c>
      <c r="F22" s="13">
        <v>0.30945816000000004</v>
      </c>
      <c r="G22" s="13">
        <v>2.9798788521999997</v>
      </c>
      <c r="H22" s="13">
        <v>0.65211011599999991</v>
      </c>
      <c r="I22" s="13">
        <v>0.33</v>
      </c>
      <c r="J22" s="13">
        <v>0.54</v>
      </c>
      <c r="K22" s="13">
        <v>0.83</v>
      </c>
      <c r="L22" s="13">
        <v>0.17499999999999999</v>
      </c>
      <c r="M22" s="13">
        <f t="shared" si="0"/>
        <v>5.5296554722799769</v>
      </c>
      <c r="N22" s="13">
        <v>5.1926246282147845</v>
      </c>
      <c r="O22" s="14">
        <f t="shared" si="11"/>
        <v>-0.33703084406519235</v>
      </c>
      <c r="P22" s="15">
        <f t="shared" si="1"/>
        <v>-0.86898715922273606</v>
      </c>
      <c r="Q22" s="13">
        <f t="shared" si="2"/>
        <v>51.142992279703641</v>
      </c>
      <c r="R22" s="13">
        <f t="shared" si="3"/>
        <v>15.384253677307218</v>
      </c>
      <c r="S22" s="13">
        <f t="shared" si="4"/>
        <v>19.699038064700463</v>
      </c>
      <c r="T22" s="13">
        <f t="shared" si="12"/>
        <v>35.083291742007681</v>
      </c>
      <c r="U22" s="13">
        <f t="shared" si="5"/>
        <v>49.121902282612155</v>
      </c>
      <c r="V22" s="13">
        <f t="shared" si="13"/>
        <v>473.01165944950623</v>
      </c>
      <c r="W22" s="13">
        <f t="shared" si="6"/>
        <v>103.51282834375692</v>
      </c>
      <c r="X22" s="13">
        <f t="shared" si="7"/>
        <v>52.382615321121307</v>
      </c>
      <c r="Y22" s="13">
        <f t="shared" si="8"/>
        <v>85.717006889107594</v>
      </c>
      <c r="Z22" s="13">
        <f t="shared" si="9"/>
        <v>131.7502142925172</v>
      </c>
      <c r="AA22" s="13">
        <f t="shared" si="10"/>
        <v>27.778659639988565</v>
      </c>
      <c r="AB22" s="16"/>
      <c r="AC22" s="16"/>
      <c r="AD22" s="16"/>
    </row>
    <row r="23" spans="1:30" x14ac:dyDescent="0.3">
      <c r="A23" s="11">
        <v>2029</v>
      </c>
      <c r="B23" s="13">
        <v>4.7094554430865463</v>
      </c>
      <c r="C23" s="13">
        <v>0.32219062276367699</v>
      </c>
      <c r="D23" s="13">
        <v>9.6917721316300012E-2</v>
      </c>
      <c r="E23" s="13">
        <v>0.12409999999999997</v>
      </c>
      <c r="F23" s="13">
        <v>0.30945816000000004</v>
      </c>
      <c r="G23" s="13">
        <v>2.9798788521999997</v>
      </c>
      <c r="H23" s="13">
        <v>0.65211011599999991</v>
      </c>
      <c r="I23" s="13">
        <v>0.33</v>
      </c>
      <c r="J23" s="13">
        <v>0.54</v>
      </c>
      <c r="K23" s="13">
        <v>0.83</v>
      </c>
      <c r="L23" s="13">
        <v>0.17499999999999999</v>
      </c>
      <c r="M23" s="13">
        <f t="shared" si="0"/>
        <v>5.5296554722799769</v>
      </c>
      <c r="N23" s="13">
        <v>5.2921812016423235</v>
      </c>
      <c r="O23" s="14">
        <f t="shared" si="11"/>
        <v>-0.23747427063765336</v>
      </c>
      <c r="P23" s="15">
        <f t="shared" si="1"/>
        <v>-0.8202000291934306</v>
      </c>
      <c r="Q23" s="13">
        <f t="shared" si="2"/>
        <v>51.142992279703641</v>
      </c>
      <c r="R23" s="13">
        <f t="shared" si="3"/>
        <v>15.384253677307218</v>
      </c>
      <c r="S23" s="13">
        <f t="shared" si="4"/>
        <v>19.699038064700463</v>
      </c>
      <c r="T23" s="13">
        <f t="shared" si="12"/>
        <v>35.083291742007681</v>
      </c>
      <c r="U23" s="13">
        <f t="shared" si="5"/>
        <v>49.121902282612155</v>
      </c>
      <c r="V23" s="13">
        <f t="shared" si="13"/>
        <v>473.01165944950623</v>
      </c>
      <c r="W23" s="13">
        <f t="shared" si="6"/>
        <v>103.51282834375692</v>
      </c>
      <c r="X23" s="13">
        <f t="shared" si="7"/>
        <v>52.382615321121307</v>
      </c>
      <c r="Y23" s="13">
        <f t="shared" si="8"/>
        <v>85.717006889107594</v>
      </c>
      <c r="Z23" s="13">
        <f t="shared" si="9"/>
        <v>131.7502142925172</v>
      </c>
      <c r="AA23" s="13">
        <f t="shared" si="10"/>
        <v>27.778659639988565</v>
      </c>
      <c r="AB23" s="16"/>
      <c r="AC23" s="16"/>
      <c r="AD23" s="16"/>
    </row>
    <row r="24" spans="1:30" x14ac:dyDescent="0.3">
      <c r="A24" s="11">
        <v>2030</v>
      </c>
      <c r="B24" s="13">
        <v>4.7452973248675869</v>
      </c>
      <c r="C24" s="13">
        <v>0.32219062276367699</v>
      </c>
      <c r="D24" s="13">
        <v>9.6917721316300012E-2</v>
      </c>
      <c r="E24" s="13">
        <v>0.12409999999999997</v>
      </c>
      <c r="F24" s="13">
        <v>0.30945816000000004</v>
      </c>
      <c r="G24" s="13">
        <v>2.9798788521999997</v>
      </c>
      <c r="H24" s="13">
        <v>0.65211011599999991</v>
      </c>
      <c r="I24" s="13">
        <v>0.33</v>
      </c>
      <c r="J24" s="13">
        <v>0.54</v>
      </c>
      <c r="K24" s="13">
        <v>0.83</v>
      </c>
      <c r="L24" s="13">
        <v>0.17499999999999999</v>
      </c>
      <c r="M24" s="13">
        <f t="shared" si="0"/>
        <v>5.5296554722799769</v>
      </c>
      <c r="N24" s="13">
        <v>5.3736050962310973</v>
      </c>
      <c r="O24" s="14">
        <f t="shared" si="11"/>
        <v>-0.15605037604887961</v>
      </c>
      <c r="P24" s="15">
        <f t="shared" si="1"/>
        <v>-0.78435814741238996</v>
      </c>
      <c r="Q24" s="13">
        <f t="shared" si="2"/>
        <v>51.142992279703641</v>
      </c>
      <c r="R24" s="13">
        <f t="shared" si="3"/>
        <v>15.384253677307218</v>
      </c>
      <c r="S24" s="13">
        <f t="shared" si="4"/>
        <v>19.699038064700463</v>
      </c>
      <c r="T24" s="13">
        <f t="shared" si="12"/>
        <v>35.083291742007681</v>
      </c>
      <c r="U24" s="13">
        <f t="shared" si="5"/>
        <v>49.121902282612155</v>
      </c>
      <c r="V24" s="13">
        <f t="shared" si="13"/>
        <v>473.01165944950623</v>
      </c>
      <c r="W24" s="13">
        <f t="shared" si="6"/>
        <v>103.51282834375692</v>
      </c>
      <c r="X24" s="13">
        <f t="shared" si="7"/>
        <v>52.382615321121307</v>
      </c>
      <c r="Y24" s="13">
        <f t="shared" si="8"/>
        <v>85.717006889107594</v>
      </c>
      <c r="Z24" s="13">
        <f t="shared" si="9"/>
        <v>131.7502142925172</v>
      </c>
      <c r="AA24" s="13">
        <f t="shared" si="10"/>
        <v>27.778659639988565</v>
      </c>
      <c r="AB24" s="16"/>
      <c r="AC24" s="16"/>
      <c r="AD24" s="16"/>
    </row>
    <row r="25" spans="1:30" x14ac:dyDescent="0.3">
      <c r="A25" s="11">
        <v>2031</v>
      </c>
      <c r="B25" s="13">
        <v>4.7835751352212927</v>
      </c>
      <c r="C25" s="13">
        <v>0.32219062276367699</v>
      </c>
      <c r="D25" s="13">
        <v>9.6917721316300012E-2</v>
      </c>
      <c r="E25" s="13">
        <v>0.12409999999999997</v>
      </c>
      <c r="F25" s="13">
        <v>0.30945816000000004</v>
      </c>
      <c r="G25" s="13">
        <v>2.9798788521999997</v>
      </c>
      <c r="H25" s="13">
        <v>0.65211011599999991</v>
      </c>
      <c r="I25" s="13">
        <v>0.33</v>
      </c>
      <c r="J25" s="13">
        <v>0.54</v>
      </c>
      <c r="K25" s="13">
        <v>0.83</v>
      </c>
      <c r="L25" s="13">
        <v>0.17499999999999999</v>
      </c>
      <c r="M25" s="13">
        <f t="shared" si="0"/>
        <v>5.5296554722799769</v>
      </c>
      <c r="N25" s="13">
        <v>5.4624786894324888</v>
      </c>
      <c r="O25" s="14">
        <f t="shared" si="11"/>
        <v>-6.717678284748807E-2</v>
      </c>
      <c r="P25" s="15">
        <f t="shared" si="1"/>
        <v>-0.74608033705868415</v>
      </c>
      <c r="Q25" s="13">
        <f t="shared" si="2"/>
        <v>51.142992279703641</v>
      </c>
      <c r="R25" s="13">
        <f t="shared" si="3"/>
        <v>15.384253677307218</v>
      </c>
      <c r="S25" s="13">
        <f t="shared" si="4"/>
        <v>19.699038064700463</v>
      </c>
      <c r="T25" s="13">
        <f t="shared" si="12"/>
        <v>35.083291742007681</v>
      </c>
      <c r="U25" s="13">
        <f t="shared" si="5"/>
        <v>49.121902282612155</v>
      </c>
      <c r="V25" s="13">
        <f t="shared" si="13"/>
        <v>473.01165944950623</v>
      </c>
      <c r="W25" s="13">
        <f t="shared" si="6"/>
        <v>103.51282834375692</v>
      </c>
      <c r="X25" s="13">
        <f t="shared" si="7"/>
        <v>52.382615321121307</v>
      </c>
      <c r="Y25" s="13">
        <f t="shared" si="8"/>
        <v>85.717006889107594</v>
      </c>
      <c r="Z25" s="13">
        <f t="shared" si="9"/>
        <v>131.7502142925172</v>
      </c>
      <c r="AA25" s="13">
        <f t="shared" si="10"/>
        <v>27.778659639988565</v>
      </c>
      <c r="AB25" s="16"/>
      <c r="AC25" s="16"/>
      <c r="AD25" s="16"/>
    </row>
    <row r="26" spans="1:30" x14ac:dyDescent="0.3">
      <c r="A26" s="11">
        <v>2032</v>
      </c>
      <c r="B26" s="13">
        <v>4.7884169106436785</v>
      </c>
      <c r="C26" s="13">
        <v>0.32219062276367699</v>
      </c>
      <c r="D26" s="13">
        <v>9.6917721316300012E-2</v>
      </c>
      <c r="E26" s="13">
        <v>0.12409999999999997</v>
      </c>
      <c r="F26" s="13">
        <v>0.30945816000000004</v>
      </c>
      <c r="G26" s="13">
        <v>2.9798788521999997</v>
      </c>
      <c r="H26" s="13">
        <v>0.65211011599999991</v>
      </c>
      <c r="I26" s="13">
        <v>0.33</v>
      </c>
      <c r="J26" s="13">
        <v>0.54</v>
      </c>
      <c r="K26" s="13">
        <v>0.83</v>
      </c>
      <c r="L26" s="13">
        <v>0.17499999999999999</v>
      </c>
      <c r="M26" s="13">
        <f t="shared" si="0"/>
        <v>5.5296554722799769</v>
      </c>
      <c r="N26" s="13">
        <v>5.5013314132920508</v>
      </c>
      <c r="O26" s="14">
        <f t="shared" si="11"/>
        <v>-2.8324058987926115E-2</v>
      </c>
      <c r="P26" s="15">
        <f t="shared" si="1"/>
        <v>-0.74123856163629842</v>
      </c>
      <c r="Q26" s="13">
        <f t="shared" si="2"/>
        <v>51.142992279703641</v>
      </c>
      <c r="R26" s="13">
        <f t="shared" si="3"/>
        <v>15.384253677307218</v>
      </c>
      <c r="S26" s="13">
        <f t="shared" si="4"/>
        <v>19.699038064700463</v>
      </c>
      <c r="T26" s="13">
        <f t="shared" si="12"/>
        <v>35.083291742007681</v>
      </c>
      <c r="U26" s="13">
        <f t="shared" si="5"/>
        <v>49.121902282612155</v>
      </c>
      <c r="V26" s="13">
        <f t="shared" si="13"/>
        <v>473.01165944950623</v>
      </c>
      <c r="W26" s="13">
        <f t="shared" si="6"/>
        <v>103.51282834375692</v>
      </c>
      <c r="X26" s="13">
        <f t="shared" si="7"/>
        <v>52.382615321121307</v>
      </c>
      <c r="Y26" s="13">
        <f t="shared" si="8"/>
        <v>85.717006889107594</v>
      </c>
      <c r="Z26" s="13">
        <f t="shared" si="9"/>
        <v>131.7502142925172</v>
      </c>
      <c r="AA26" s="13">
        <f t="shared" si="10"/>
        <v>27.778659639988565</v>
      </c>
      <c r="AB26" s="16"/>
      <c r="AC26" s="16"/>
      <c r="AD26" s="16"/>
    </row>
    <row r="27" spans="1:30" x14ac:dyDescent="0.3">
      <c r="A27" s="11">
        <v>2033</v>
      </c>
      <c r="B27" s="13">
        <v>4.866641399598719</v>
      </c>
      <c r="C27" s="13">
        <v>0.32219062276367699</v>
      </c>
      <c r="D27" s="13">
        <v>9.6917721316300012E-2</v>
      </c>
      <c r="E27" s="13">
        <v>0.12409999999999997</v>
      </c>
      <c r="F27" s="13">
        <v>0.30945816000000004</v>
      </c>
      <c r="G27" s="13">
        <v>2.9798788521999997</v>
      </c>
      <c r="H27" s="13">
        <v>0.65211011599999991</v>
      </c>
      <c r="I27" s="13">
        <v>0.33</v>
      </c>
      <c r="J27" s="13">
        <v>0.54</v>
      </c>
      <c r="K27" s="13">
        <v>0.83</v>
      </c>
      <c r="L27" s="13">
        <v>0.17499999999999999</v>
      </c>
      <c r="M27" s="13">
        <f t="shared" si="0"/>
        <v>5.5296554722799769</v>
      </c>
      <c r="N27" s="13">
        <v>5.6382248234558707</v>
      </c>
      <c r="O27" s="14">
        <f t="shared" si="11"/>
        <v>0.10856935117589384</v>
      </c>
      <c r="P27" s="15">
        <f t="shared" si="1"/>
        <v>-0.66301407268125789</v>
      </c>
      <c r="Q27" s="13">
        <f t="shared" si="2"/>
        <v>51.142992279703641</v>
      </c>
      <c r="R27" s="13">
        <f t="shared" si="3"/>
        <v>15.384253677307218</v>
      </c>
      <c r="S27" s="13">
        <f t="shared" si="4"/>
        <v>19.699038064700463</v>
      </c>
      <c r="T27" s="13">
        <f t="shared" si="12"/>
        <v>35.083291742007681</v>
      </c>
      <c r="U27" s="13">
        <f t="shared" si="5"/>
        <v>49.121902282612155</v>
      </c>
      <c r="V27" s="13">
        <f t="shared" si="13"/>
        <v>473.01165944950623</v>
      </c>
      <c r="W27" s="13">
        <f t="shared" si="6"/>
        <v>103.51282834375692</v>
      </c>
      <c r="X27" s="13">
        <f t="shared" si="7"/>
        <v>52.382615321121307</v>
      </c>
      <c r="Y27" s="13">
        <f t="shared" si="8"/>
        <v>85.717006889107594</v>
      </c>
      <c r="Z27" s="13">
        <f t="shared" si="9"/>
        <v>131.7502142925172</v>
      </c>
      <c r="AA27" s="13">
        <f t="shared" si="10"/>
        <v>27.778659639988565</v>
      </c>
      <c r="AB27" s="16"/>
      <c r="AC27" s="16"/>
      <c r="AD27" s="16"/>
    </row>
    <row r="28" spans="1:30" x14ac:dyDescent="0.3">
      <c r="A28" s="11">
        <v>2034</v>
      </c>
      <c r="B28" s="13">
        <v>4.9261579740078476</v>
      </c>
      <c r="C28" s="13">
        <v>0.32219062276367699</v>
      </c>
      <c r="D28" s="13">
        <v>9.6917721316300012E-2</v>
      </c>
      <c r="E28" s="13">
        <v>0.12409999999999997</v>
      </c>
      <c r="F28" s="13">
        <v>0.30945816000000004</v>
      </c>
      <c r="G28" s="13">
        <v>2.9798788521999997</v>
      </c>
      <c r="H28" s="13">
        <v>0.65211011599999991</v>
      </c>
      <c r="I28" s="13">
        <v>0.33</v>
      </c>
      <c r="J28" s="13">
        <v>0.54</v>
      </c>
      <c r="K28" s="13">
        <v>0.83</v>
      </c>
      <c r="L28" s="13">
        <v>0.17499999999999999</v>
      </c>
      <c r="M28" s="13">
        <f t="shared" si="0"/>
        <v>5.5296554722799769</v>
      </c>
      <c r="N28" s="13">
        <v>5.7380064173477052</v>
      </c>
      <c r="O28" s="14">
        <f t="shared" si="11"/>
        <v>0.20835094506772833</v>
      </c>
      <c r="P28" s="15">
        <f t="shared" si="1"/>
        <v>-0.60349749827212928</v>
      </c>
      <c r="Q28" s="13">
        <f t="shared" si="2"/>
        <v>51.142992279703641</v>
      </c>
      <c r="R28" s="13">
        <f t="shared" si="3"/>
        <v>15.384253677307218</v>
      </c>
      <c r="S28" s="13">
        <f t="shared" si="4"/>
        <v>19.699038064700463</v>
      </c>
      <c r="T28" s="13">
        <f t="shared" si="12"/>
        <v>35.083291742007681</v>
      </c>
      <c r="U28" s="13">
        <f t="shared" si="5"/>
        <v>49.121902282612155</v>
      </c>
      <c r="V28" s="13">
        <f t="shared" si="13"/>
        <v>473.01165944950623</v>
      </c>
      <c r="W28" s="13">
        <f t="shared" si="6"/>
        <v>103.51282834375692</v>
      </c>
      <c r="X28" s="13">
        <f t="shared" si="7"/>
        <v>52.382615321121307</v>
      </c>
      <c r="Y28" s="13">
        <f t="shared" si="8"/>
        <v>85.717006889107594</v>
      </c>
      <c r="Z28" s="13">
        <f t="shared" si="9"/>
        <v>131.7502142925172</v>
      </c>
      <c r="AA28" s="13">
        <f t="shared" si="10"/>
        <v>27.778659639988565</v>
      </c>
      <c r="AB28" s="16"/>
      <c r="AC28" s="16"/>
      <c r="AD28" s="16"/>
    </row>
    <row r="29" spans="1:30" x14ac:dyDescent="0.3">
      <c r="A29" s="11">
        <v>2035</v>
      </c>
      <c r="B29" s="13">
        <v>4.9295535297979853</v>
      </c>
      <c r="C29" s="13">
        <v>0.32219062276367699</v>
      </c>
      <c r="D29" s="13">
        <v>9.6917721316300012E-2</v>
      </c>
      <c r="E29" s="13">
        <v>0.12409999999999997</v>
      </c>
      <c r="F29" s="13">
        <v>0.30945816000000004</v>
      </c>
      <c r="G29" s="13">
        <v>2.9798788521999997</v>
      </c>
      <c r="H29" s="13">
        <v>0.65211011599999991</v>
      </c>
      <c r="I29" s="13">
        <v>0.33</v>
      </c>
      <c r="J29" s="13">
        <v>0.54</v>
      </c>
      <c r="K29" s="13">
        <v>0.83</v>
      </c>
      <c r="L29" s="13">
        <v>0.17499999999999999</v>
      </c>
      <c r="M29" s="13">
        <f t="shared" si="0"/>
        <v>5.5296554722799769</v>
      </c>
      <c r="N29" s="13">
        <v>5.7678799917233654</v>
      </c>
      <c r="O29" s="14">
        <f t="shared" si="11"/>
        <v>0.23822451944338852</v>
      </c>
      <c r="P29" s="15">
        <f t="shared" si="1"/>
        <v>-0.60010194248199156</v>
      </c>
      <c r="Q29" s="13">
        <f t="shared" si="2"/>
        <v>51.142992279703641</v>
      </c>
      <c r="R29" s="13">
        <f t="shared" si="3"/>
        <v>15.384253677307218</v>
      </c>
      <c r="S29" s="13">
        <f t="shared" si="4"/>
        <v>19.699038064700463</v>
      </c>
      <c r="T29" s="13">
        <f t="shared" si="12"/>
        <v>35.083291742007681</v>
      </c>
      <c r="U29" s="13">
        <f t="shared" si="5"/>
        <v>49.121902282612155</v>
      </c>
      <c r="V29" s="13">
        <f t="shared" si="13"/>
        <v>473.01165944950623</v>
      </c>
      <c r="W29" s="13">
        <f t="shared" si="6"/>
        <v>103.51282834375692</v>
      </c>
      <c r="X29" s="13">
        <f t="shared" si="7"/>
        <v>52.382615321121307</v>
      </c>
      <c r="Y29" s="13">
        <f t="shared" si="8"/>
        <v>85.717006889107594</v>
      </c>
      <c r="Z29" s="13">
        <f t="shared" si="9"/>
        <v>131.7502142925172</v>
      </c>
      <c r="AA29" s="13">
        <f t="shared" si="10"/>
        <v>27.778659639988565</v>
      </c>
      <c r="AB29" s="16"/>
      <c r="AC29" s="16"/>
      <c r="AD29" s="16"/>
    </row>
    <row r="30" spans="1:30" x14ac:dyDescent="0.3">
      <c r="A30" s="11">
        <v>2036</v>
      </c>
      <c r="B30" s="13">
        <v>4.8769019800291309</v>
      </c>
      <c r="C30" s="13">
        <v>0.32219062276367699</v>
      </c>
      <c r="D30" s="13">
        <v>9.6917721316300012E-2</v>
      </c>
      <c r="E30" s="13">
        <v>0.12409999999999997</v>
      </c>
      <c r="F30" s="13">
        <v>0.30945816000000004</v>
      </c>
      <c r="G30" s="13">
        <v>2.9798788521999997</v>
      </c>
      <c r="H30" s="13">
        <v>0.65211011599999991</v>
      </c>
      <c r="I30" s="13">
        <v>0.33</v>
      </c>
      <c r="J30" s="13">
        <v>0.54</v>
      </c>
      <c r="K30" s="13">
        <v>0.83</v>
      </c>
      <c r="L30" s="13">
        <v>0.17499999999999999</v>
      </c>
      <c r="M30" s="13">
        <f t="shared" si="0"/>
        <v>5.5296554722799769</v>
      </c>
      <c r="N30" s="13">
        <v>5.7664404449170901</v>
      </c>
      <c r="O30" s="14">
        <f t="shared" si="11"/>
        <v>0.23678497263711318</v>
      </c>
      <c r="P30" s="15">
        <f t="shared" si="1"/>
        <v>-0.652753492250846</v>
      </c>
      <c r="Q30" s="13">
        <f t="shared" si="2"/>
        <v>51.142992279703641</v>
      </c>
      <c r="R30" s="13">
        <f t="shared" si="3"/>
        <v>15.384253677307218</v>
      </c>
      <c r="S30" s="13">
        <f t="shared" si="4"/>
        <v>19.699038064700463</v>
      </c>
      <c r="T30" s="13">
        <f t="shared" si="12"/>
        <v>35.083291742007681</v>
      </c>
      <c r="U30" s="13">
        <f t="shared" si="5"/>
        <v>49.121902282612155</v>
      </c>
      <c r="V30" s="13">
        <f t="shared" si="13"/>
        <v>473.01165944950623</v>
      </c>
      <c r="W30" s="13">
        <f t="shared" si="6"/>
        <v>103.51282834375692</v>
      </c>
      <c r="X30" s="13">
        <f t="shared" si="7"/>
        <v>52.382615321121307</v>
      </c>
      <c r="Y30" s="13">
        <f t="shared" si="8"/>
        <v>85.717006889107594</v>
      </c>
      <c r="Z30" s="13">
        <f t="shared" si="9"/>
        <v>131.7502142925172</v>
      </c>
      <c r="AA30" s="13">
        <f t="shared" si="10"/>
        <v>27.778659639988565</v>
      </c>
      <c r="AB30" s="16"/>
      <c r="AC30" s="16"/>
      <c r="AD30" s="16"/>
    </row>
    <row r="31" spans="1:30" x14ac:dyDescent="0.3">
      <c r="A31" s="11">
        <v>2037</v>
      </c>
      <c r="B31" s="13">
        <v>4.8675798590867645</v>
      </c>
      <c r="C31" s="13">
        <v>0.32219062276367699</v>
      </c>
      <c r="D31" s="13">
        <v>9.6917721316300012E-2</v>
      </c>
      <c r="E31" s="13">
        <v>0.12409999999999997</v>
      </c>
      <c r="F31" s="13">
        <v>0.30945816000000004</v>
      </c>
      <c r="G31" s="13">
        <v>2.9798788521999997</v>
      </c>
      <c r="H31" s="13">
        <v>0.65211011599999991</v>
      </c>
      <c r="I31" s="13">
        <v>0.33</v>
      </c>
      <c r="J31" s="13">
        <v>0.54</v>
      </c>
      <c r="K31" s="13">
        <v>0.83</v>
      </c>
      <c r="L31" s="13">
        <v>0.17499999999999999</v>
      </c>
      <c r="M31" s="13">
        <f t="shared" si="0"/>
        <v>5.5296554722799769</v>
      </c>
      <c r="N31" s="13">
        <v>5.8411014491751594</v>
      </c>
      <c r="O31" s="14">
        <f t="shared" si="11"/>
        <v>0.3114459768951825</v>
      </c>
      <c r="P31" s="15">
        <f t="shared" si="1"/>
        <v>-0.6620756131932124</v>
      </c>
      <c r="Q31" s="13">
        <f t="shared" si="2"/>
        <v>51.142992279703641</v>
      </c>
      <c r="R31" s="13">
        <f t="shared" si="3"/>
        <v>15.384253677307218</v>
      </c>
      <c r="S31" s="13">
        <f t="shared" si="4"/>
        <v>19.699038064700463</v>
      </c>
      <c r="T31" s="13">
        <f t="shared" si="12"/>
        <v>35.083291742007681</v>
      </c>
      <c r="U31" s="13">
        <f t="shared" si="5"/>
        <v>49.121902282612155</v>
      </c>
      <c r="V31" s="13">
        <f t="shared" si="13"/>
        <v>473.01165944950623</v>
      </c>
      <c r="W31" s="13">
        <f t="shared" si="6"/>
        <v>103.51282834375692</v>
      </c>
      <c r="X31" s="13">
        <f t="shared" si="7"/>
        <v>52.382615321121307</v>
      </c>
      <c r="Y31" s="13">
        <f t="shared" si="8"/>
        <v>85.717006889107594</v>
      </c>
      <c r="Z31" s="13">
        <f t="shared" si="9"/>
        <v>131.7502142925172</v>
      </c>
      <c r="AA31" s="13">
        <f t="shared" si="10"/>
        <v>27.778659639988565</v>
      </c>
      <c r="AB31" s="16"/>
      <c r="AC31" s="16"/>
      <c r="AD31" s="16"/>
    </row>
    <row r="32" spans="1:30" x14ac:dyDescent="0.3">
      <c r="A32" s="11">
        <v>2038</v>
      </c>
      <c r="B32" s="13">
        <v>4.8311323335686254</v>
      </c>
      <c r="C32" s="13">
        <v>0.32219062276367699</v>
      </c>
      <c r="D32" s="13">
        <v>9.6917721316300012E-2</v>
      </c>
      <c r="E32" s="13">
        <v>0.12409999999999997</v>
      </c>
      <c r="F32" s="13">
        <v>0.30945816000000004</v>
      </c>
      <c r="G32" s="13">
        <v>2.9798788521999997</v>
      </c>
      <c r="H32" s="13">
        <v>0.65211011599999991</v>
      </c>
      <c r="I32" s="13">
        <v>0.33</v>
      </c>
      <c r="J32" s="13">
        <v>0.54</v>
      </c>
      <c r="K32" s="13">
        <v>0.83</v>
      </c>
      <c r="L32" s="13">
        <v>0.17499999999999999</v>
      </c>
      <c r="M32" s="13">
        <f t="shared" si="0"/>
        <v>5.5296554722799769</v>
      </c>
      <c r="N32" s="13">
        <v>5.869976162477645</v>
      </c>
      <c r="O32" s="14">
        <f t="shared" si="11"/>
        <v>0.34032069019766809</v>
      </c>
      <c r="P32" s="15">
        <f t="shared" si="1"/>
        <v>-0.69852313871135152</v>
      </c>
      <c r="Q32" s="13">
        <f t="shared" si="2"/>
        <v>51.142992279703641</v>
      </c>
      <c r="R32" s="13">
        <f t="shared" si="3"/>
        <v>15.384253677307218</v>
      </c>
      <c r="S32" s="13">
        <f t="shared" si="4"/>
        <v>19.699038064700463</v>
      </c>
      <c r="T32" s="13">
        <f t="shared" si="12"/>
        <v>35.083291742007681</v>
      </c>
      <c r="U32" s="13">
        <f t="shared" si="5"/>
        <v>49.121902282612155</v>
      </c>
      <c r="V32" s="13">
        <f t="shared" si="13"/>
        <v>473.01165944950623</v>
      </c>
      <c r="W32" s="13">
        <f t="shared" si="6"/>
        <v>103.51282834375692</v>
      </c>
      <c r="X32" s="13">
        <f t="shared" si="7"/>
        <v>52.382615321121307</v>
      </c>
      <c r="Y32" s="13">
        <f t="shared" si="8"/>
        <v>85.717006889107594</v>
      </c>
      <c r="Z32" s="13">
        <f t="shared" si="9"/>
        <v>131.7502142925172</v>
      </c>
      <c r="AA32" s="13">
        <f t="shared" si="10"/>
        <v>27.778659639988565</v>
      </c>
      <c r="AB32" s="16"/>
      <c r="AC32" s="16"/>
      <c r="AD32" s="16"/>
    </row>
    <row r="33" spans="1:30" x14ac:dyDescent="0.3">
      <c r="A33" s="11">
        <v>2039</v>
      </c>
      <c r="B33" s="13">
        <v>4.837062866697833</v>
      </c>
      <c r="C33" s="13">
        <v>0.32219062276367699</v>
      </c>
      <c r="D33" s="13">
        <v>9.6917721316300012E-2</v>
      </c>
      <c r="E33" s="13">
        <v>0.12409999999999997</v>
      </c>
      <c r="F33" s="13">
        <v>0.30945816000000004</v>
      </c>
      <c r="G33" s="13">
        <v>2.9798788521999997</v>
      </c>
      <c r="H33" s="13">
        <v>0.65211011599999991</v>
      </c>
      <c r="I33" s="13">
        <v>0.33</v>
      </c>
      <c r="J33" s="13">
        <v>0.54</v>
      </c>
      <c r="K33" s="13">
        <v>0.83</v>
      </c>
      <c r="L33" s="13">
        <v>0.17499999999999999</v>
      </c>
      <c r="M33" s="13">
        <f t="shared" si="0"/>
        <v>5.5296554722799769</v>
      </c>
      <c r="N33" s="13">
        <v>5.9270284490075289</v>
      </c>
      <c r="O33" s="14">
        <f t="shared" si="11"/>
        <v>0.39737297672755201</v>
      </c>
      <c r="P33" s="15">
        <f t="shared" si="1"/>
        <v>-0.69259260558214386</v>
      </c>
      <c r="Q33" s="13">
        <f t="shared" si="2"/>
        <v>51.142992279703641</v>
      </c>
      <c r="R33" s="13">
        <f t="shared" si="3"/>
        <v>15.384253677307218</v>
      </c>
      <c r="S33" s="13">
        <f t="shared" si="4"/>
        <v>19.699038064700463</v>
      </c>
      <c r="T33" s="13">
        <f t="shared" si="12"/>
        <v>35.083291742007681</v>
      </c>
      <c r="U33" s="13">
        <f t="shared" si="5"/>
        <v>49.121902282612155</v>
      </c>
      <c r="V33" s="13">
        <f t="shared" si="13"/>
        <v>473.01165944950623</v>
      </c>
      <c r="W33" s="13">
        <f t="shared" si="6"/>
        <v>103.51282834375692</v>
      </c>
      <c r="X33" s="13">
        <f t="shared" si="7"/>
        <v>52.382615321121307</v>
      </c>
      <c r="Y33" s="13">
        <f t="shared" si="8"/>
        <v>85.717006889107594</v>
      </c>
      <c r="Z33" s="13">
        <f t="shared" si="9"/>
        <v>131.7502142925172</v>
      </c>
      <c r="AA33" s="13">
        <f t="shared" si="10"/>
        <v>27.778659639988565</v>
      </c>
      <c r="AB33" s="16"/>
      <c r="AC33" s="16"/>
      <c r="AD33" s="16"/>
    </row>
    <row r="34" spans="1:30" x14ac:dyDescent="0.3">
      <c r="A34" s="11">
        <v>2040</v>
      </c>
      <c r="B34" s="13">
        <v>4.8004868617622307</v>
      </c>
      <c r="C34" s="13">
        <v>0.32219062276367699</v>
      </c>
      <c r="D34" s="13">
        <v>9.6917721316300012E-2</v>
      </c>
      <c r="E34" s="13">
        <v>0.12409999999999997</v>
      </c>
      <c r="F34" s="13">
        <v>0.30945816000000004</v>
      </c>
      <c r="G34" s="13">
        <v>2.9798788521999997</v>
      </c>
      <c r="H34" s="13">
        <v>0.65211011599999991</v>
      </c>
      <c r="I34" s="13">
        <v>0.33</v>
      </c>
      <c r="J34" s="13">
        <v>0.54</v>
      </c>
      <c r="K34" s="13">
        <v>0.83</v>
      </c>
      <c r="L34" s="13">
        <v>0.17499999999999999</v>
      </c>
      <c r="M34" s="13">
        <f t="shared" si="0"/>
        <v>5.5296554722799769</v>
      </c>
      <c r="N34" s="13">
        <v>5.9198618715056446</v>
      </c>
      <c r="O34" s="14">
        <f t="shared" si="11"/>
        <v>0.39020639922566769</v>
      </c>
      <c r="P34" s="15">
        <f t="shared" si="1"/>
        <v>-0.72916861051774617</v>
      </c>
      <c r="Q34" s="13">
        <f t="shared" si="2"/>
        <v>51.142992279703641</v>
      </c>
      <c r="R34" s="13">
        <f t="shared" si="3"/>
        <v>15.384253677307218</v>
      </c>
      <c r="S34" s="13">
        <f t="shared" si="4"/>
        <v>19.699038064700463</v>
      </c>
      <c r="T34" s="13">
        <f t="shared" si="12"/>
        <v>35.083291742007681</v>
      </c>
      <c r="U34" s="13">
        <f t="shared" si="5"/>
        <v>49.121902282612155</v>
      </c>
      <c r="V34" s="13">
        <f t="shared" si="13"/>
        <v>473.01165944950623</v>
      </c>
      <c r="W34" s="13">
        <f t="shared" si="6"/>
        <v>103.51282834375692</v>
      </c>
      <c r="X34" s="13">
        <f t="shared" si="7"/>
        <v>52.382615321121307</v>
      </c>
      <c r="Y34" s="13">
        <f t="shared" si="8"/>
        <v>85.717006889107594</v>
      </c>
      <c r="Z34" s="13">
        <f t="shared" si="9"/>
        <v>131.7502142925172</v>
      </c>
      <c r="AA34" s="13">
        <f t="shared" si="10"/>
        <v>27.778659639988565</v>
      </c>
      <c r="AB34" s="16"/>
      <c r="AC34" s="16"/>
      <c r="AD34" s="16"/>
    </row>
    <row r="35" spans="1:30" x14ac:dyDescent="0.3">
      <c r="A35" s="11">
        <v>2041</v>
      </c>
      <c r="B35" s="13">
        <v>4.7860072641556206</v>
      </c>
      <c r="C35" s="13">
        <v>0.32219062276367699</v>
      </c>
      <c r="D35" s="13">
        <v>9.6917721316300012E-2</v>
      </c>
      <c r="E35" s="13">
        <v>0.12409999999999997</v>
      </c>
      <c r="F35" s="13">
        <v>0.30945816000000004</v>
      </c>
      <c r="G35" s="13">
        <v>2.9798788521999997</v>
      </c>
      <c r="H35" s="13">
        <v>0.65211011599999991</v>
      </c>
      <c r="I35" s="13">
        <v>0.33</v>
      </c>
      <c r="J35" s="13">
        <v>0.54</v>
      </c>
      <c r="K35" s="13">
        <v>0.83</v>
      </c>
      <c r="L35" s="13">
        <v>0.17499999999999999</v>
      </c>
      <c r="M35" s="13">
        <f t="shared" si="0"/>
        <v>5.5296554722799769</v>
      </c>
      <c r="N35" s="13">
        <v>5.9423921326157103</v>
      </c>
      <c r="O35" s="14">
        <f t="shared" si="11"/>
        <v>0.41273666033573342</v>
      </c>
      <c r="P35" s="15">
        <f t="shared" si="1"/>
        <v>-0.74364820812435628</v>
      </c>
      <c r="Q35" s="13">
        <f t="shared" si="2"/>
        <v>51.142992279703641</v>
      </c>
      <c r="R35" s="13">
        <f t="shared" si="3"/>
        <v>15.384253677307218</v>
      </c>
      <c r="S35" s="13">
        <f t="shared" si="4"/>
        <v>19.699038064700463</v>
      </c>
      <c r="T35" s="13">
        <f t="shared" si="12"/>
        <v>35.083291742007681</v>
      </c>
      <c r="U35" s="13">
        <f t="shared" si="5"/>
        <v>49.121902282612155</v>
      </c>
      <c r="V35" s="13">
        <f t="shared" si="13"/>
        <v>473.01165944950623</v>
      </c>
      <c r="W35" s="13">
        <f t="shared" si="6"/>
        <v>103.51282834375692</v>
      </c>
      <c r="X35" s="13">
        <f t="shared" si="7"/>
        <v>52.382615321121307</v>
      </c>
      <c r="Y35" s="13">
        <f t="shared" si="8"/>
        <v>85.717006889107594</v>
      </c>
      <c r="Z35" s="13">
        <f t="shared" si="9"/>
        <v>131.7502142925172</v>
      </c>
      <c r="AA35" s="13">
        <f t="shared" si="10"/>
        <v>27.778659639988565</v>
      </c>
      <c r="AB35" s="16"/>
      <c r="AC35" s="16"/>
      <c r="AD35" s="16"/>
    </row>
    <row r="36" spans="1:30" x14ac:dyDescent="0.3">
      <c r="A36" s="11">
        <v>2042</v>
      </c>
      <c r="B36" s="13">
        <v>4.7593750341585865</v>
      </c>
      <c r="C36" s="13">
        <v>0.32219062276367699</v>
      </c>
      <c r="D36" s="13">
        <v>9.6917721316300012E-2</v>
      </c>
      <c r="E36" s="13">
        <v>0.12409999999999997</v>
      </c>
      <c r="F36" s="13">
        <v>0.30945816000000004</v>
      </c>
      <c r="G36" s="13">
        <v>2.9798788521999997</v>
      </c>
      <c r="H36" s="13">
        <v>0.65211011599999991</v>
      </c>
      <c r="I36" s="13">
        <v>0.33</v>
      </c>
      <c r="J36" s="13">
        <v>0.54</v>
      </c>
      <c r="K36" s="13">
        <v>0.83</v>
      </c>
      <c r="L36" s="13">
        <v>0.17499999999999999</v>
      </c>
      <c r="M36" s="13">
        <f t="shared" si="0"/>
        <v>5.5296554722799769</v>
      </c>
      <c r="N36" s="13">
        <v>5.9668015236633103</v>
      </c>
      <c r="O36" s="14">
        <f t="shared" si="11"/>
        <v>0.4371460513833334</v>
      </c>
      <c r="P36" s="15">
        <f t="shared" si="1"/>
        <v>-0.77028043812139035</v>
      </c>
      <c r="Q36" s="13">
        <f t="shared" si="2"/>
        <v>51.142992279703641</v>
      </c>
      <c r="R36" s="13">
        <f t="shared" si="3"/>
        <v>15.384253677307218</v>
      </c>
      <c r="S36" s="13">
        <f t="shared" si="4"/>
        <v>19.699038064700463</v>
      </c>
      <c r="T36" s="13">
        <f t="shared" si="12"/>
        <v>35.083291742007681</v>
      </c>
      <c r="U36" s="13">
        <f t="shared" si="5"/>
        <v>49.121902282612155</v>
      </c>
      <c r="V36" s="13">
        <f t="shared" si="13"/>
        <v>473.01165944950623</v>
      </c>
      <c r="W36" s="13">
        <f t="shared" si="6"/>
        <v>103.51282834375692</v>
      </c>
      <c r="X36" s="13">
        <f t="shared" si="7"/>
        <v>52.382615321121307</v>
      </c>
      <c r="Y36" s="13">
        <f t="shared" si="8"/>
        <v>85.717006889107594</v>
      </c>
      <c r="Z36" s="13">
        <f t="shared" si="9"/>
        <v>131.7502142925172</v>
      </c>
      <c r="AA36" s="13">
        <f t="shared" si="10"/>
        <v>27.778659639988565</v>
      </c>
      <c r="AB36" s="16"/>
      <c r="AC36" s="16"/>
      <c r="AD36" s="16"/>
    </row>
    <row r="37" spans="1:30" x14ac:dyDescent="0.3">
      <c r="A37" s="11">
        <v>2043</v>
      </c>
      <c r="B37" s="13">
        <v>4.7449828580620306</v>
      </c>
      <c r="C37" s="13">
        <v>0.32219062276367699</v>
      </c>
      <c r="D37" s="13">
        <v>9.6917721316300012E-2</v>
      </c>
      <c r="E37" s="13">
        <v>0.12409999999999997</v>
      </c>
      <c r="F37" s="13">
        <v>0.30945816000000004</v>
      </c>
      <c r="G37" s="13">
        <v>2.9798788521999997</v>
      </c>
      <c r="H37" s="13">
        <v>0.65211011599999991</v>
      </c>
      <c r="I37" s="13">
        <v>0.33</v>
      </c>
      <c r="J37" s="13">
        <v>0.54</v>
      </c>
      <c r="K37" s="13">
        <v>0.83</v>
      </c>
      <c r="L37" s="13">
        <v>0.17499999999999999</v>
      </c>
      <c r="M37" s="13">
        <f t="shared" si="0"/>
        <v>5.5296554722799769</v>
      </c>
      <c r="N37" s="13">
        <v>5.999648259776321</v>
      </c>
      <c r="O37" s="14">
        <f t="shared" si="11"/>
        <v>0.4699927874963441</v>
      </c>
      <c r="P37" s="15">
        <f t="shared" si="1"/>
        <v>-0.78467261421794632</v>
      </c>
      <c r="Q37" s="13">
        <f t="shared" si="2"/>
        <v>51.142992279703641</v>
      </c>
      <c r="R37" s="13">
        <f t="shared" si="3"/>
        <v>15.384253677307218</v>
      </c>
      <c r="S37" s="13">
        <f t="shared" si="4"/>
        <v>19.699038064700463</v>
      </c>
      <c r="T37" s="13">
        <f t="shared" si="12"/>
        <v>35.083291742007681</v>
      </c>
      <c r="U37" s="13">
        <f t="shared" si="5"/>
        <v>49.121902282612155</v>
      </c>
      <c r="V37" s="13">
        <f t="shared" si="13"/>
        <v>473.01165944950623</v>
      </c>
      <c r="W37" s="13">
        <f t="shared" si="6"/>
        <v>103.51282834375692</v>
      </c>
      <c r="X37" s="13">
        <f t="shared" si="7"/>
        <v>52.382615321121307</v>
      </c>
      <c r="Y37" s="13">
        <f t="shared" si="8"/>
        <v>85.717006889107594</v>
      </c>
      <c r="Z37" s="13">
        <f t="shared" si="9"/>
        <v>131.7502142925172</v>
      </c>
      <c r="AA37" s="13">
        <f t="shared" si="10"/>
        <v>27.778659639988565</v>
      </c>
      <c r="AB37" s="16"/>
      <c r="AC37" s="16"/>
      <c r="AD37" s="16"/>
    </row>
    <row r="38" spans="1:30" x14ac:dyDescent="0.3">
      <c r="A38" s="11">
        <v>2044</v>
      </c>
      <c r="B38" s="13">
        <v>4.7296506782215388</v>
      </c>
      <c r="C38" s="13">
        <v>0.32219062276367699</v>
      </c>
      <c r="D38" s="13">
        <v>9.6917721316300012E-2</v>
      </c>
      <c r="E38" s="13">
        <v>0.12409999999999997</v>
      </c>
      <c r="F38" s="13">
        <v>0.30945816000000004</v>
      </c>
      <c r="G38" s="13">
        <v>2.9798788521999997</v>
      </c>
      <c r="H38" s="13">
        <v>0.65211011599999991</v>
      </c>
      <c r="I38" s="13">
        <v>0.33</v>
      </c>
      <c r="J38" s="13">
        <v>0.54</v>
      </c>
      <c r="K38" s="13">
        <v>0.83</v>
      </c>
      <c r="L38" s="13">
        <v>0.17499999999999999</v>
      </c>
      <c r="M38" s="13">
        <f t="shared" si="0"/>
        <v>5.5296554722799769</v>
      </c>
      <c r="N38" s="13">
        <v>6.0233172675463962</v>
      </c>
      <c r="O38" s="14">
        <f t="shared" si="11"/>
        <v>0.49366179526641929</v>
      </c>
      <c r="P38" s="15">
        <f t="shared" si="1"/>
        <v>-0.80000479405843805</v>
      </c>
      <c r="Q38" s="13">
        <f t="shared" si="2"/>
        <v>51.142992279703641</v>
      </c>
      <c r="R38" s="13">
        <f t="shared" si="3"/>
        <v>15.384253677307218</v>
      </c>
      <c r="S38" s="13">
        <f t="shared" si="4"/>
        <v>19.699038064700463</v>
      </c>
      <c r="T38" s="13">
        <f t="shared" si="12"/>
        <v>35.083291742007681</v>
      </c>
      <c r="U38" s="13">
        <f t="shared" si="5"/>
        <v>49.121902282612155</v>
      </c>
      <c r="V38" s="13">
        <f t="shared" si="13"/>
        <v>473.01165944950623</v>
      </c>
      <c r="W38" s="13">
        <f t="shared" si="6"/>
        <v>103.51282834375692</v>
      </c>
      <c r="X38" s="13">
        <f t="shared" si="7"/>
        <v>52.382615321121307</v>
      </c>
      <c r="Y38" s="13">
        <f t="shared" si="8"/>
        <v>85.717006889107594</v>
      </c>
      <c r="Z38" s="13">
        <f t="shared" si="9"/>
        <v>131.7502142925172</v>
      </c>
      <c r="AA38" s="13">
        <f t="shared" si="10"/>
        <v>27.778659639988565</v>
      </c>
      <c r="AB38" s="16"/>
      <c r="AC38" s="16"/>
      <c r="AD38" s="16"/>
    </row>
    <row r="39" spans="1:30" x14ac:dyDescent="0.3">
      <c r="A39" s="11">
        <v>2045</v>
      </c>
      <c r="B39" s="13">
        <v>4.7160851387417404</v>
      </c>
      <c r="C39" s="13">
        <v>0.32219062276367699</v>
      </c>
      <c r="D39" s="13">
        <v>9.6917721316300012E-2</v>
      </c>
      <c r="E39" s="13">
        <v>0.12409999999999997</v>
      </c>
      <c r="F39" s="13">
        <v>0.30945816000000004</v>
      </c>
      <c r="G39" s="13">
        <v>2.9798788521999997</v>
      </c>
      <c r="H39" s="13">
        <v>0.65211011599999991</v>
      </c>
      <c r="I39" s="13">
        <v>0.33</v>
      </c>
      <c r="J39" s="13">
        <v>0.54</v>
      </c>
      <c r="K39" s="13">
        <v>0.83</v>
      </c>
      <c r="L39" s="13">
        <v>0.17499999999999999</v>
      </c>
      <c r="M39" s="13">
        <f t="shared" si="0"/>
        <v>5.5296554722799769</v>
      </c>
      <c r="N39" s="13">
        <v>6.0628620907878936</v>
      </c>
      <c r="O39" s="14">
        <f t="shared" si="11"/>
        <v>0.53320661850791673</v>
      </c>
      <c r="P39" s="15">
        <f t="shared" si="1"/>
        <v>-0.81357033353823649</v>
      </c>
      <c r="Q39" s="13">
        <f t="shared" si="2"/>
        <v>51.142992279703641</v>
      </c>
      <c r="R39" s="13">
        <f t="shared" si="3"/>
        <v>15.384253677307218</v>
      </c>
      <c r="S39" s="13">
        <f t="shared" si="4"/>
        <v>19.699038064700463</v>
      </c>
      <c r="T39" s="13">
        <f t="shared" si="12"/>
        <v>35.083291742007681</v>
      </c>
      <c r="U39" s="13">
        <f t="shared" si="5"/>
        <v>49.121902282612155</v>
      </c>
      <c r="V39" s="13">
        <f t="shared" si="13"/>
        <v>473.01165944950623</v>
      </c>
      <c r="W39" s="13">
        <f t="shared" si="6"/>
        <v>103.51282834375692</v>
      </c>
      <c r="X39" s="13">
        <f t="shared" si="7"/>
        <v>52.382615321121307</v>
      </c>
      <c r="Y39" s="13">
        <f t="shared" si="8"/>
        <v>85.717006889107594</v>
      </c>
      <c r="Z39" s="13">
        <f t="shared" si="9"/>
        <v>131.7502142925172</v>
      </c>
      <c r="AA39" s="13">
        <f t="shared" si="10"/>
        <v>27.778659639988565</v>
      </c>
      <c r="AB39" s="16"/>
      <c r="AC39" s="16"/>
      <c r="AD39" s="16"/>
    </row>
    <row r="40" spans="1:30" x14ac:dyDescent="0.3">
      <c r="A40" s="11">
        <v>2046</v>
      </c>
      <c r="B40" s="13">
        <v>4.6880673485746041</v>
      </c>
      <c r="C40" s="13">
        <v>0.32219062276367699</v>
      </c>
      <c r="D40" s="13">
        <v>9.6917721316300012E-2</v>
      </c>
      <c r="E40" s="13">
        <v>0.12409999999999997</v>
      </c>
      <c r="F40" s="13">
        <v>0.30945816000000004</v>
      </c>
      <c r="G40" s="13">
        <v>2.9798788521999997</v>
      </c>
      <c r="H40" s="13">
        <v>0.65211011599999991</v>
      </c>
      <c r="I40" s="13">
        <v>0.33</v>
      </c>
      <c r="J40" s="13">
        <v>0.54</v>
      </c>
      <c r="K40" s="13">
        <v>0.83</v>
      </c>
      <c r="L40" s="13">
        <v>0.17499999999999999</v>
      </c>
      <c r="M40" s="13">
        <f t="shared" si="0"/>
        <v>5.5296554722799769</v>
      </c>
      <c r="N40" s="13">
        <v>6.091417868763485</v>
      </c>
      <c r="O40" s="14">
        <f t="shared" si="11"/>
        <v>0.56176239648350812</v>
      </c>
      <c r="P40" s="15">
        <f t="shared" si="1"/>
        <v>-0.84158812370537284</v>
      </c>
      <c r="Q40" s="13">
        <f t="shared" si="2"/>
        <v>51.142992279703641</v>
      </c>
      <c r="R40" s="13">
        <f t="shared" si="3"/>
        <v>15.384253677307218</v>
      </c>
      <c r="S40" s="13">
        <f t="shared" si="4"/>
        <v>19.699038064700463</v>
      </c>
      <c r="T40" s="13">
        <f t="shared" si="12"/>
        <v>35.083291742007681</v>
      </c>
      <c r="U40" s="13">
        <f t="shared" si="5"/>
        <v>49.121902282612155</v>
      </c>
      <c r="V40" s="13">
        <f t="shared" si="13"/>
        <v>473.01165944950623</v>
      </c>
      <c r="W40" s="13">
        <f t="shared" si="6"/>
        <v>103.51282834375692</v>
      </c>
      <c r="X40" s="13">
        <f t="shared" si="7"/>
        <v>52.382615321121307</v>
      </c>
      <c r="Y40" s="13">
        <f t="shared" si="8"/>
        <v>85.717006889107594</v>
      </c>
      <c r="Z40" s="13">
        <f t="shared" si="9"/>
        <v>131.7502142925172</v>
      </c>
      <c r="AA40" s="13">
        <f t="shared" si="10"/>
        <v>27.778659639988565</v>
      </c>
      <c r="AB40" s="16"/>
      <c r="AC40" s="16"/>
      <c r="AD40" s="16"/>
    </row>
    <row r="41" spans="1:30" x14ac:dyDescent="0.3">
      <c r="A41" s="11">
        <v>2047</v>
      </c>
      <c r="B41" s="13">
        <v>4.6598495670308537</v>
      </c>
      <c r="C41" s="13">
        <v>0.32219062276367699</v>
      </c>
      <c r="D41" s="13">
        <v>9.6917721316300012E-2</v>
      </c>
      <c r="E41" s="13">
        <v>0.12409999999999997</v>
      </c>
      <c r="F41" s="13">
        <v>0.30945816000000004</v>
      </c>
      <c r="G41" s="13">
        <v>2.9798788521999997</v>
      </c>
      <c r="H41" s="13">
        <v>0.65211011599999991</v>
      </c>
      <c r="I41" s="13">
        <v>0.33</v>
      </c>
      <c r="J41" s="13">
        <v>0.54</v>
      </c>
      <c r="K41" s="13">
        <v>0.83</v>
      </c>
      <c r="L41" s="13">
        <v>0.17499999999999999</v>
      </c>
      <c r="M41" s="13">
        <f t="shared" si="0"/>
        <v>5.5296554722799769</v>
      </c>
      <c r="N41" s="13">
        <v>6.1098727684194918</v>
      </c>
      <c r="O41" s="14">
        <f t="shared" si="11"/>
        <v>0.58021729613951489</v>
      </c>
      <c r="P41" s="15">
        <f t="shared" si="1"/>
        <v>-0.86980590524912316</v>
      </c>
      <c r="Q41" s="13">
        <f t="shared" si="2"/>
        <v>51.142992279703641</v>
      </c>
      <c r="R41" s="13">
        <f t="shared" si="3"/>
        <v>15.384253677307218</v>
      </c>
      <c r="S41" s="13">
        <f t="shared" si="4"/>
        <v>19.699038064700463</v>
      </c>
      <c r="T41" s="13">
        <f t="shared" si="12"/>
        <v>35.083291742007681</v>
      </c>
      <c r="U41" s="13">
        <f t="shared" si="5"/>
        <v>49.121902282612155</v>
      </c>
      <c r="V41" s="13">
        <f t="shared" si="13"/>
        <v>473.01165944950623</v>
      </c>
      <c r="W41" s="13">
        <f t="shared" si="6"/>
        <v>103.51282834375692</v>
      </c>
      <c r="X41" s="13">
        <f t="shared" si="7"/>
        <v>52.382615321121307</v>
      </c>
      <c r="Y41" s="13">
        <f t="shared" si="8"/>
        <v>85.717006889107594</v>
      </c>
      <c r="Z41" s="13">
        <f t="shared" si="9"/>
        <v>131.7502142925172</v>
      </c>
      <c r="AA41" s="13">
        <f t="shared" si="10"/>
        <v>27.778659639988565</v>
      </c>
      <c r="AB41" s="16"/>
      <c r="AC41" s="16"/>
      <c r="AD41" s="16"/>
    </row>
    <row r="42" spans="1:30" x14ac:dyDescent="0.3">
      <c r="A42" s="11">
        <v>2048</v>
      </c>
      <c r="B42" s="13">
        <v>4.6178140766624356</v>
      </c>
      <c r="C42" s="13">
        <v>0.32219062276367699</v>
      </c>
      <c r="D42" s="13">
        <v>9.6917721316300012E-2</v>
      </c>
      <c r="E42" s="13">
        <v>0.12409999999999997</v>
      </c>
      <c r="F42" s="13">
        <v>0.30945816000000004</v>
      </c>
      <c r="G42" s="13">
        <v>2.9798788521999997</v>
      </c>
      <c r="H42" s="13">
        <v>0.65211011599999991</v>
      </c>
      <c r="I42" s="13">
        <v>0.33</v>
      </c>
      <c r="J42" s="13">
        <v>0.54</v>
      </c>
      <c r="K42" s="13">
        <v>0.83</v>
      </c>
      <c r="L42" s="13">
        <v>0.17499999999999999</v>
      </c>
      <c r="M42" s="13">
        <f t="shared" si="0"/>
        <v>5.5296554722799769</v>
      </c>
      <c r="N42" s="13">
        <v>6.0985520384986192</v>
      </c>
      <c r="O42" s="14">
        <f t="shared" si="11"/>
        <v>0.56889656621864226</v>
      </c>
      <c r="P42" s="15">
        <f t="shared" si="1"/>
        <v>-0.91184139561754129</v>
      </c>
      <c r="Q42" s="13">
        <f t="shared" si="2"/>
        <v>51.142992279703641</v>
      </c>
      <c r="R42" s="13">
        <f t="shared" si="3"/>
        <v>15.384253677307218</v>
      </c>
      <c r="S42" s="13">
        <f t="shared" si="4"/>
        <v>19.699038064700463</v>
      </c>
      <c r="T42" s="13">
        <f t="shared" si="12"/>
        <v>35.083291742007681</v>
      </c>
      <c r="U42" s="13">
        <f t="shared" si="5"/>
        <v>49.121902282612155</v>
      </c>
      <c r="V42" s="13">
        <f t="shared" si="13"/>
        <v>473.01165944950623</v>
      </c>
      <c r="W42" s="13">
        <f t="shared" si="6"/>
        <v>103.51282834375692</v>
      </c>
      <c r="X42" s="13">
        <f t="shared" si="7"/>
        <v>52.382615321121307</v>
      </c>
      <c r="Y42" s="13">
        <f t="shared" si="8"/>
        <v>85.717006889107594</v>
      </c>
      <c r="Z42" s="13">
        <f t="shared" si="9"/>
        <v>131.7502142925172</v>
      </c>
      <c r="AA42" s="13">
        <f t="shared" si="10"/>
        <v>27.778659639988565</v>
      </c>
      <c r="AB42" s="16"/>
      <c r="AC42" s="16"/>
      <c r="AD42" s="16"/>
    </row>
    <row r="43" spans="1:30" x14ac:dyDescent="0.3">
      <c r="A43" s="11">
        <v>2049</v>
      </c>
      <c r="B43" s="13">
        <v>4.6030123450268432</v>
      </c>
      <c r="C43" s="13">
        <v>0.32219062276367699</v>
      </c>
      <c r="D43" s="13">
        <v>9.6917721316300012E-2</v>
      </c>
      <c r="E43" s="13">
        <v>0.12409999999999997</v>
      </c>
      <c r="F43" s="13">
        <v>0.30945816000000004</v>
      </c>
      <c r="G43" s="13">
        <v>2.9798788521999997</v>
      </c>
      <c r="H43" s="13">
        <v>0.65211011599999991</v>
      </c>
      <c r="I43" s="13">
        <v>0.33</v>
      </c>
      <c r="J43" s="13">
        <v>0.54</v>
      </c>
      <c r="K43" s="13">
        <v>0.83</v>
      </c>
      <c r="L43" s="13">
        <v>0.17499999999999999</v>
      </c>
      <c r="M43" s="13">
        <f t="shared" si="0"/>
        <v>5.5296554722799769</v>
      </c>
      <c r="N43" s="13">
        <v>6.1247082670919504</v>
      </c>
      <c r="O43" s="14">
        <f t="shared" si="11"/>
        <v>0.59505279481197348</v>
      </c>
      <c r="P43" s="15">
        <f t="shared" si="1"/>
        <v>-0.92664312725313369</v>
      </c>
      <c r="Q43" s="13">
        <f t="shared" si="2"/>
        <v>51.142992279703641</v>
      </c>
      <c r="R43" s="13">
        <f t="shared" si="3"/>
        <v>15.384253677307218</v>
      </c>
      <c r="S43" s="13">
        <f t="shared" si="4"/>
        <v>19.699038064700463</v>
      </c>
      <c r="T43" s="13">
        <f t="shared" si="12"/>
        <v>35.083291742007681</v>
      </c>
      <c r="U43" s="13">
        <f t="shared" si="5"/>
        <v>49.121902282612155</v>
      </c>
      <c r="V43" s="13">
        <f t="shared" si="13"/>
        <v>473.01165944950623</v>
      </c>
      <c r="W43" s="13">
        <f t="shared" si="6"/>
        <v>103.51282834375692</v>
      </c>
      <c r="X43" s="13">
        <f t="shared" si="7"/>
        <v>52.382615321121307</v>
      </c>
      <c r="Y43" s="13">
        <f t="shared" si="8"/>
        <v>85.717006889107594</v>
      </c>
      <c r="Z43" s="13">
        <f t="shared" si="9"/>
        <v>131.7502142925172</v>
      </c>
      <c r="AA43" s="13">
        <f t="shared" si="10"/>
        <v>27.778659639988565</v>
      </c>
      <c r="AB43" s="16"/>
      <c r="AC43" s="16"/>
      <c r="AD43" s="16"/>
    </row>
    <row r="44" spans="1:30" x14ac:dyDescent="0.3">
      <c r="A44" s="11">
        <v>2050</v>
      </c>
      <c r="B44" s="13">
        <v>4.5743246312085857</v>
      </c>
      <c r="C44" s="13">
        <v>0.32219062276367699</v>
      </c>
      <c r="D44" s="13">
        <v>9.6917721316300012E-2</v>
      </c>
      <c r="E44" s="13">
        <v>0.12409999999999997</v>
      </c>
      <c r="F44" s="13">
        <v>0.30945816000000004</v>
      </c>
      <c r="G44" s="13">
        <v>2.9798788521999997</v>
      </c>
      <c r="H44" s="13">
        <v>0.65211011599999991</v>
      </c>
      <c r="I44" s="13">
        <v>0.33</v>
      </c>
      <c r="J44" s="13">
        <v>0.54</v>
      </c>
      <c r="K44" s="13">
        <v>0.83</v>
      </c>
      <c r="L44" s="13">
        <v>0.17499999999999999</v>
      </c>
      <c r="M44" s="13">
        <f t="shared" si="0"/>
        <v>5.5296554722799769</v>
      </c>
      <c r="N44" s="13">
        <v>6.1208568639169085</v>
      </c>
      <c r="O44" s="14">
        <f t="shared" si="11"/>
        <v>0.59120139163693164</v>
      </c>
      <c r="P44" s="15">
        <f t="shared" si="1"/>
        <v>-0.95533084107139121</v>
      </c>
      <c r="Q44" s="13">
        <f t="shared" si="2"/>
        <v>51.142992279703641</v>
      </c>
      <c r="R44" s="13">
        <f t="shared" si="3"/>
        <v>15.384253677307218</v>
      </c>
      <c r="S44" s="13">
        <f t="shared" si="4"/>
        <v>19.699038064700463</v>
      </c>
      <c r="T44" s="13">
        <f t="shared" si="12"/>
        <v>35.083291742007681</v>
      </c>
      <c r="U44" s="13">
        <f t="shared" si="5"/>
        <v>49.121902282612155</v>
      </c>
      <c r="V44" s="13">
        <f t="shared" si="13"/>
        <v>473.01165944950623</v>
      </c>
      <c r="W44" s="13">
        <f t="shared" si="6"/>
        <v>103.51282834375692</v>
      </c>
      <c r="X44" s="13">
        <f t="shared" si="7"/>
        <v>52.382615321121307</v>
      </c>
      <c r="Y44" s="13">
        <f t="shared" si="8"/>
        <v>85.717006889107594</v>
      </c>
      <c r="Z44" s="13">
        <f t="shared" si="9"/>
        <v>131.7502142925172</v>
      </c>
      <c r="AA44" s="13">
        <f t="shared" si="10"/>
        <v>27.778659639988565</v>
      </c>
      <c r="AB44" s="16"/>
      <c r="AC44" s="16"/>
      <c r="AD44" s="16"/>
    </row>
    <row r="45" spans="1:30" x14ac:dyDescent="0.3">
      <c r="B45" s="11">
        <f>B29/B14</f>
        <v>1.3502606999974782</v>
      </c>
      <c r="N45" s="11">
        <f>N44/N14</f>
        <v>1.680508081088073</v>
      </c>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
  <sheetViews>
    <sheetView workbookViewId="0">
      <selection activeCell="Q14" sqref="Q14"/>
    </sheetView>
  </sheetViews>
  <sheetFormatPr defaultColWidth="11.54296875" defaultRowHeight="14.5" x14ac:dyDescent="0.35"/>
  <cols>
    <col min="1" max="17" width="11.54296875" style="25"/>
    <col min="18" max="18" width="103.36328125" style="25" customWidth="1"/>
    <col min="19" max="16384" width="11.54296875" style="25"/>
  </cols>
  <sheetData>
    <row r="1" spans="1:18" x14ac:dyDescent="0.35">
      <c r="A1" s="24" t="s">
        <v>75</v>
      </c>
    </row>
    <row r="2" spans="1:18" x14ac:dyDescent="0.35">
      <c r="A2" s="26" t="str">
        <f>HYPERLINK("#'Table of Contents'!A1","Return to Table of Contents")</f>
        <v>Return to Table of Contents</v>
      </c>
    </row>
    <row r="6" spans="1:18" s="27" customFormat="1" ht="15" thickBot="1" x14ac:dyDescent="0.4">
      <c r="A6" s="27" t="s">
        <v>76</v>
      </c>
      <c r="B6" s="27" t="s">
        <v>77</v>
      </c>
      <c r="C6" s="27" t="s">
        <v>78</v>
      </c>
      <c r="D6" s="27" t="s">
        <v>79</v>
      </c>
      <c r="E6" s="27" t="s">
        <v>80</v>
      </c>
      <c r="F6" s="27" t="s">
        <v>81</v>
      </c>
    </row>
    <row r="7" spans="1:18" ht="17" customHeight="1" thickBot="1" x14ac:dyDescent="0.4">
      <c r="A7" s="25">
        <v>2010</v>
      </c>
      <c r="B7" s="28">
        <v>2.9149240968324399</v>
      </c>
      <c r="C7" s="28">
        <v>2.2963627900000003</v>
      </c>
      <c r="D7" s="28">
        <v>2.2963627900000003</v>
      </c>
      <c r="E7" s="28">
        <v>2.2963627900000003</v>
      </c>
      <c r="F7" s="25" t="s">
        <v>82</v>
      </c>
      <c r="O7" s="30" t="s">
        <v>52</v>
      </c>
      <c r="P7" s="31" t="s">
        <v>88</v>
      </c>
      <c r="Q7" s="31" t="s">
        <v>89</v>
      </c>
      <c r="R7" s="31" t="s">
        <v>83</v>
      </c>
    </row>
    <row r="8" spans="1:18" ht="20" customHeight="1" thickBot="1" x14ac:dyDescent="0.4">
      <c r="A8" s="25">
        <v>2011</v>
      </c>
      <c r="B8" s="28">
        <v>3.30762627708777</v>
      </c>
      <c r="C8" s="28">
        <v>2.485528221</v>
      </c>
      <c r="D8" s="28">
        <v>2.485528221</v>
      </c>
      <c r="E8" s="28">
        <v>2.485528221</v>
      </c>
      <c r="F8" s="25" t="s">
        <v>82</v>
      </c>
      <c r="O8" s="32" t="s">
        <v>1</v>
      </c>
      <c r="P8" s="33">
        <v>3290</v>
      </c>
      <c r="Q8" s="33">
        <f>P8*0.158987</f>
        <v>523.06723</v>
      </c>
      <c r="R8" s="34" t="s">
        <v>84</v>
      </c>
    </row>
    <row r="9" spans="1:18" ht="15" thickBot="1" x14ac:dyDescent="0.4">
      <c r="A9" s="25">
        <v>2012</v>
      </c>
      <c r="B9" s="28">
        <v>3.3888681324974699</v>
      </c>
      <c r="C9" s="28">
        <v>2.8361069369999998</v>
      </c>
      <c r="D9" s="28">
        <v>2.8361069369999998</v>
      </c>
      <c r="E9" s="28">
        <v>2.8361069369999998</v>
      </c>
      <c r="F9" s="25" t="s">
        <v>82</v>
      </c>
      <c r="O9" s="32" t="s">
        <v>4</v>
      </c>
      <c r="P9" s="34">
        <v>590</v>
      </c>
      <c r="Q9" s="33">
        <f t="shared" ref="Q9:Q13" si="0">P9*0.158987</f>
        <v>93.802329999999998</v>
      </c>
      <c r="R9" s="34" t="s">
        <v>85</v>
      </c>
    </row>
    <row r="10" spans="1:18" ht="24.5" thickBot="1" x14ac:dyDescent="0.4">
      <c r="A10" s="25">
        <v>2013</v>
      </c>
      <c r="B10" s="28">
        <v>3.4589627677299801</v>
      </c>
      <c r="C10" s="28">
        <v>3.08492451</v>
      </c>
      <c r="D10" s="28">
        <v>3.08492451</v>
      </c>
      <c r="E10" s="28">
        <v>3.08492451</v>
      </c>
      <c r="F10" s="25" t="s">
        <v>82</v>
      </c>
      <c r="O10" s="32" t="s">
        <v>3</v>
      </c>
      <c r="P10" s="34">
        <v>300</v>
      </c>
      <c r="Q10" s="33">
        <f t="shared" si="0"/>
        <v>47.696099999999994</v>
      </c>
      <c r="R10" s="34" t="s">
        <v>86</v>
      </c>
    </row>
    <row r="11" spans="1:18" ht="36.5" thickBot="1" x14ac:dyDescent="0.4">
      <c r="A11" s="25">
        <v>2014</v>
      </c>
      <c r="B11" s="28">
        <v>3.6135408925299797</v>
      </c>
      <c r="C11" s="28">
        <v>3.454467943</v>
      </c>
      <c r="D11" s="28">
        <v>3.454467943</v>
      </c>
      <c r="E11" s="28">
        <v>3.454467943</v>
      </c>
      <c r="F11" s="25" t="s">
        <v>82</v>
      </c>
      <c r="O11" s="32" t="s">
        <v>31</v>
      </c>
      <c r="P11" s="34">
        <v>590</v>
      </c>
      <c r="Q11" s="33">
        <f t="shared" si="0"/>
        <v>93.802329999999998</v>
      </c>
      <c r="R11" s="34" t="s">
        <v>87</v>
      </c>
    </row>
    <row r="12" spans="1:18" ht="15" thickBot="1" x14ac:dyDescent="0.4">
      <c r="A12" s="25">
        <v>2015</v>
      </c>
      <c r="B12" s="28">
        <v>3.8622633044299799</v>
      </c>
      <c r="C12" s="28">
        <v>3.5762824470000001</v>
      </c>
      <c r="D12" s="28">
        <v>3.5762824470000001</v>
      </c>
      <c r="E12" s="28">
        <v>3.5762824470000001</v>
      </c>
      <c r="F12" s="25" t="s">
        <v>82</v>
      </c>
      <c r="O12" s="32" t="s">
        <v>2</v>
      </c>
      <c r="P12" s="34">
        <v>310</v>
      </c>
      <c r="Q12" s="33">
        <f t="shared" si="0"/>
        <v>49.285969999999999</v>
      </c>
      <c r="R12" s="34" t="s">
        <v>59</v>
      </c>
    </row>
    <row r="13" spans="1:18" ht="15" thickBot="1" x14ac:dyDescent="0.4">
      <c r="A13" s="25">
        <v>2016</v>
      </c>
      <c r="B13" s="28">
        <v>4.1073528326799797</v>
      </c>
      <c r="C13" s="28">
        <v>3.5353960820000001</v>
      </c>
      <c r="D13" s="28">
        <v>3.5353960820000001</v>
      </c>
      <c r="E13" s="28">
        <v>3.5353960820000001</v>
      </c>
      <c r="F13" s="25" t="s">
        <v>82</v>
      </c>
      <c r="O13" s="32" t="s">
        <v>40</v>
      </c>
      <c r="P13" s="34">
        <v>97</v>
      </c>
      <c r="Q13" s="33">
        <f t="shared" si="0"/>
        <v>15.421738999999999</v>
      </c>
      <c r="R13" s="34" t="s">
        <v>59</v>
      </c>
    </row>
    <row r="14" spans="1:18" ht="24.5" thickBot="1" x14ac:dyDescent="0.4">
      <c r="A14" s="25">
        <v>2017</v>
      </c>
      <c r="B14" s="28">
        <v>4.2071355429299802</v>
      </c>
      <c r="C14" s="28">
        <v>3.8268299900000002</v>
      </c>
      <c r="D14" s="28">
        <v>3.8268299900000002</v>
      </c>
      <c r="E14" s="28">
        <v>3.8268299900000002</v>
      </c>
      <c r="F14" s="25" t="s">
        <v>82</v>
      </c>
      <c r="O14" s="32" t="s">
        <v>41</v>
      </c>
      <c r="P14" s="34">
        <v>44</v>
      </c>
      <c r="Q14" s="33">
        <f>P14*0.158987</f>
        <v>6.9954279999999995</v>
      </c>
      <c r="R14" s="34" t="s">
        <v>59</v>
      </c>
    </row>
    <row r="15" spans="1:18" x14ac:dyDescent="0.35">
      <c r="A15" s="25">
        <v>2018</v>
      </c>
      <c r="B15" s="28">
        <v>4.1833888109299799</v>
      </c>
      <c r="C15" s="28">
        <v>4.1972217509999998</v>
      </c>
      <c r="D15" s="28">
        <v>4.1972217509999998</v>
      </c>
      <c r="E15" s="28">
        <v>4.1972217509999998</v>
      </c>
      <c r="F15" s="25" t="s">
        <v>82</v>
      </c>
      <c r="P15" s="29">
        <f>SUM(P8:P14)</f>
        <v>5221</v>
      </c>
      <c r="Q15" s="29">
        <f>SUM(Q8:Q14)</f>
        <v>830.07112699999993</v>
      </c>
    </row>
    <row r="16" spans="1:18" x14ac:dyDescent="0.35">
      <c r="A16" s="25">
        <v>2019</v>
      </c>
      <c r="B16" s="28">
        <v>4.2494233921299802</v>
      </c>
      <c r="C16" s="28">
        <v>4.2076526270000008</v>
      </c>
      <c r="D16" s="28">
        <v>4.2076526270000008</v>
      </c>
      <c r="E16" s="28">
        <v>4.2076526270000008</v>
      </c>
      <c r="F16" s="25" t="s">
        <v>82</v>
      </c>
    </row>
    <row r="17" spans="1:18" x14ac:dyDescent="0.35">
      <c r="A17" s="25">
        <v>2020</v>
      </c>
      <c r="B17" s="28">
        <v>4.3980620354572206</v>
      </c>
      <c r="C17" s="28">
        <v>3.9309824840000003</v>
      </c>
      <c r="D17" s="28">
        <v>3.9309824840000003</v>
      </c>
      <c r="E17" s="28">
        <v>3.9309824840000003</v>
      </c>
      <c r="F17" s="25" t="s">
        <v>82</v>
      </c>
      <c r="Q17" s="29"/>
    </row>
    <row r="18" spans="1:18" x14ac:dyDescent="0.35">
      <c r="A18" s="25">
        <v>2021</v>
      </c>
      <c r="B18" s="28">
        <v>4.5189718470170801</v>
      </c>
      <c r="C18" s="28">
        <v>4.194845602</v>
      </c>
      <c r="D18" s="28">
        <v>4.194845602</v>
      </c>
      <c r="E18" s="28">
        <v>4.194845602</v>
      </c>
      <c r="F18" s="25" t="s">
        <v>82</v>
      </c>
    </row>
    <row r="19" spans="1:18" x14ac:dyDescent="0.35">
      <c r="A19" s="25">
        <v>2022</v>
      </c>
      <c r="B19" s="28">
        <v>4.8088400228496306</v>
      </c>
      <c r="C19" s="28">
        <v>4.384782403</v>
      </c>
      <c r="D19" s="28">
        <v>4.384782403</v>
      </c>
      <c r="E19" s="28">
        <v>4.384782403</v>
      </c>
      <c r="F19" s="25" t="s">
        <v>82</v>
      </c>
    </row>
    <row r="20" spans="1:18" x14ac:dyDescent="0.35">
      <c r="A20" s="25">
        <v>2023</v>
      </c>
      <c r="B20" s="28">
        <v>4.7560724165163002</v>
      </c>
      <c r="C20" s="28">
        <v>4.6071817939999997</v>
      </c>
      <c r="D20" s="28">
        <v>4.6071817939999997</v>
      </c>
      <c r="E20" s="28">
        <v>4.6071817939999997</v>
      </c>
      <c r="F20" s="25" t="s">
        <v>82</v>
      </c>
    </row>
    <row r="21" spans="1:18" x14ac:dyDescent="0.35">
      <c r="A21" s="25">
        <v>2024</v>
      </c>
      <c r="B21" s="28">
        <v>5.1992299068496308</v>
      </c>
      <c r="C21" s="28">
        <v>4.7528306409999992</v>
      </c>
      <c r="D21" s="28">
        <v>4.7528306409999992</v>
      </c>
      <c r="E21" s="28">
        <v>4.7528306409999992</v>
      </c>
      <c r="F21" s="25" t="s">
        <v>82</v>
      </c>
    </row>
    <row r="22" spans="1:18" x14ac:dyDescent="0.35">
      <c r="A22" s="25">
        <v>2025</v>
      </c>
      <c r="B22" s="28">
        <v>5.3408965735163001</v>
      </c>
      <c r="C22" s="28">
        <v>4.8796684199999998</v>
      </c>
      <c r="D22" s="28">
        <v>4.8265823968970496</v>
      </c>
      <c r="E22" s="28">
        <v>4.8754725360000002</v>
      </c>
      <c r="F22" s="25" t="s">
        <v>82</v>
      </c>
    </row>
    <row r="23" spans="1:18" ht="15" thickBot="1" x14ac:dyDescent="0.4">
      <c r="A23" s="25">
        <v>2026</v>
      </c>
      <c r="B23" s="28">
        <v>5.3408965735163001</v>
      </c>
      <c r="C23" s="28">
        <v>4.9525047960000004</v>
      </c>
      <c r="D23" s="28">
        <v>4.8732869182026599</v>
      </c>
      <c r="E23" s="28">
        <v>4.9375225220000001</v>
      </c>
      <c r="F23" s="25" t="s">
        <v>82</v>
      </c>
      <c r="P23" s="35">
        <v>2009</v>
      </c>
      <c r="Q23" s="35">
        <v>353</v>
      </c>
      <c r="R23" s="33">
        <f t="shared" ref="R23:R39" si="1">Q23*0.158987</f>
        <v>56.122411</v>
      </c>
    </row>
    <row r="24" spans="1:18" ht="15" thickBot="1" x14ac:dyDescent="0.4">
      <c r="A24" s="25">
        <v>2027</v>
      </c>
      <c r="B24" s="28">
        <v>5.3408965735163001</v>
      </c>
      <c r="C24" s="28">
        <v>4.9830636860000004</v>
      </c>
      <c r="D24" s="28">
        <v>4.9072772141599996</v>
      </c>
      <c r="E24" s="28">
        <v>5.0526354359999992</v>
      </c>
      <c r="F24" s="25" t="s">
        <v>82</v>
      </c>
      <c r="O24" s="36">
        <v>4</v>
      </c>
      <c r="P24" s="35">
        <v>2010</v>
      </c>
      <c r="Q24" s="35">
        <v>397</v>
      </c>
      <c r="R24" s="33">
        <f t="shared" si="1"/>
        <v>63.117838999999996</v>
      </c>
    </row>
    <row r="25" spans="1:18" ht="15" thickBot="1" x14ac:dyDescent="0.4">
      <c r="A25" s="25">
        <v>2028</v>
      </c>
      <c r="B25" s="28">
        <v>5.3408965735163001</v>
      </c>
      <c r="C25" s="28">
        <v>5.0220255680000001</v>
      </c>
      <c r="D25" s="28">
        <v>4.8675316815180105</v>
      </c>
      <c r="E25" s="28">
        <v>5.1184594820000004</v>
      </c>
      <c r="F25" s="25" t="s">
        <v>82</v>
      </c>
      <c r="O25" s="36">
        <v>5</v>
      </c>
      <c r="P25" s="35">
        <v>2011</v>
      </c>
      <c r="Q25" s="35">
        <v>397</v>
      </c>
      <c r="R25" s="33">
        <f t="shared" si="1"/>
        <v>63.117838999999996</v>
      </c>
    </row>
    <row r="26" spans="1:18" ht="15" thickBot="1" x14ac:dyDescent="0.4">
      <c r="A26" s="25">
        <v>2029</v>
      </c>
      <c r="B26" s="28">
        <v>5.3408965735163001</v>
      </c>
      <c r="C26" s="28">
        <v>5.0417035519999995</v>
      </c>
      <c r="D26" s="28">
        <v>4.8636988456324302</v>
      </c>
      <c r="E26" s="28">
        <v>5.1704694419999999</v>
      </c>
      <c r="F26" s="25" t="s">
        <v>82</v>
      </c>
      <c r="O26" s="36">
        <v>6</v>
      </c>
      <c r="P26" s="35">
        <v>2012</v>
      </c>
      <c r="Q26" s="35">
        <v>397</v>
      </c>
      <c r="R26" s="33">
        <f t="shared" si="1"/>
        <v>63.117838999999996</v>
      </c>
    </row>
    <row r="27" spans="1:18" ht="15" thickBot="1" x14ac:dyDescent="0.4">
      <c r="A27" s="25">
        <v>2030</v>
      </c>
      <c r="B27" s="28">
        <v>5.3408965735163001</v>
      </c>
      <c r="C27" s="28">
        <v>5.0606036160000007</v>
      </c>
      <c r="D27" s="28">
        <v>4.8108067955182596</v>
      </c>
      <c r="E27" s="28">
        <v>5.1563352940000007</v>
      </c>
      <c r="F27" s="25" t="s">
        <v>82</v>
      </c>
      <c r="O27" s="36">
        <v>7</v>
      </c>
      <c r="P27" s="35">
        <v>2013</v>
      </c>
      <c r="Q27" s="35">
        <v>397</v>
      </c>
      <c r="R27" s="33">
        <f t="shared" si="1"/>
        <v>63.117838999999996</v>
      </c>
    </row>
    <row r="28" spans="1:18" ht="15" thickBot="1" x14ac:dyDescent="0.4">
      <c r="A28" s="25">
        <v>2031</v>
      </c>
      <c r="B28" s="28">
        <v>5.3408965735163001</v>
      </c>
      <c r="C28" s="28">
        <v>5.0640540739999995</v>
      </c>
      <c r="D28" s="28">
        <v>4.64115675798329</v>
      </c>
      <c r="E28" s="28">
        <v>5.132814175</v>
      </c>
      <c r="F28" s="25" t="s">
        <v>82</v>
      </c>
      <c r="O28" s="36">
        <v>8</v>
      </c>
      <c r="P28" s="35">
        <v>2014</v>
      </c>
      <c r="Q28" s="35">
        <v>416</v>
      </c>
      <c r="R28" s="33">
        <f t="shared" si="1"/>
        <v>66.138591999999989</v>
      </c>
    </row>
    <row r="29" spans="1:18" ht="15" thickBot="1" x14ac:dyDescent="0.4">
      <c r="A29" s="25">
        <v>2032</v>
      </c>
      <c r="B29" s="28">
        <v>5.3408965735163001</v>
      </c>
      <c r="C29" s="28">
        <v>5.0734796089999996</v>
      </c>
      <c r="D29" s="28">
        <v>4.4648753377601196</v>
      </c>
      <c r="E29" s="28">
        <v>5.1600422010000004</v>
      </c>
      <c r="F29" s="25" t="s">
        <v>82</v>
      </c>
      <c r="O29" s="36">
        <v>9</v>
      </c>
      <c r="P29" s="35">
        <v>2015</v>
      </c>
      <c r="Q29" s="35">
        <v>453</v>
      </c>
      <c r="R29" s="33">
        <f t="shared" si="1"/>
        <v>72.021110999999991</v>
      </c>
    </row>
    <row r="30" spans="1:18" ht="15" thickBot="1" x14ac:dyDescent="0.4">
      <c r="A30" s="25">
        <v>2033</v>
      </c>
      <c r="B30" s="28">
        <v>5.3408965735163001</v>
      </c>
      <c r="C30" s="28">
        <v>5.150360676</v>
      </c>
      <c r="D30" s="28">
        <v>4.1760919465989499</v>
      </c>
      <c r="E30" s="28">
        <v>5.1235907230000004</v>
      </c>
      <c r="F30" s="25" t="s">
        <v>82</v>
      </c>
      <c r="O30" s="36">
        <v>10</v>
      </c>
      <c r="P30" s="35">
        <v>2016</v>
      </c>
      <c r="Q30" s="35">
        <v>453</v>
      </c>
      <c r="R30" s="33">
        <f t="shared" si="1"/>
        <v>72.021110999999991</v>
      </c>
    </row>
    <row r="31" spans="1:18" ht="15" thickBot="1" x14ac:dyDescent="0.4">
      <c r="A31" s="25">
        <v>2034</v>
      </c>
      <c r="B31" s="28">
        <v>5.3408965735163001</v>
      </c>
      <c r="C31" s="28">
        <v>5.204792039</v>
      </c>
      <c r="D31" s="28">
        <v>3.8986389354732101</v>
      </c>
      <c r="E31" s="28">
        <v>5.0947572990000003</v>
      </c>
      <c r="F31" s="25" t="s">
        <v>82</v>
      </c>
      <c r="O31" s="36">
        <v>11</v>
      </c>
      <c r="P31" s="35">
        <v>2017</v>
      </c>
      <c r="Q31" s="35">
        <v>453</v>
      </c>
      <c r="R31" s="33">
        <f t="shared" si="1"/>
        <v>72.021110999999991</v>
      </c>
    </row>
    <row r="32" spans="1:18" ht="15" thickBot="1" x14ac:dyDescent="0.4">
      <c r="A32" s="25">
        <v>2035</v>
      </c>
      <c r="B32" s="28">
        <v>5.3408965735163001</v>
      </c>
      <c r="C32" s="28">
        <v>5.1988547269999996</v>
      </c>
      <c r="D32" s="28">
        <v>3.5398359812637099</v>
      </c>
      <c r="E32" s="28">
        <v>5.0675520839999999</v>
      </c>
      <c r="F32" s="25" t="s">
        <v>82</v>
      </c>
      <c r="O32" s="36">
        <v>12</v>
      </c>
      <c r="P32" s="35">
        <v>2018</v>
      </c>
      <c r="Q32" s="35">
        <v>453</v>
      </c>
      <c r="R32" s="33">
        <f t="shared" si="1"/>
        <v>72.021110999999991</v>
      </c>
    </row>
    <row r="33" spans="1:18" ht="15" thickBot="1" x14ac:dyDescent="0.4">
      <c r="A33" s="25">
        <v>2036</v>
      </c>
      <c r="B33" s="28">
        <v>5.3408965735163001</v>
      </c>
      <c r="C33" s="28">
        <v>5.1578524479999999</v>
      </c>
      <c r="D33" s="28">
        <v>3.2184540289759598</v>
      </c>
      <c r="E33" s="28">
        <v>4.9617849610000002</v>
      </c>
      <c r="F33" s="25" t="s">
        <v>82</v>
      </c>
      <c r="O33" s="36">
        <v>13</v>
      </c>
      <c r="P33" s="35">
        <v>2019</v>
      </c>
      <c r="Q33" s="35">
        <v>460</v>
      </c>
      <c r="R33" s="33">
        <f t="shared" si="1"/>
        <v>73.134019999999992</v>
      </c>
    </row>
    <row r="34" spans="1:18" ht="15" thickBot="1" x14ac:dyDescent="0.4">
      <c r="A34" s="25">
        <v>2037</v>
      </c>
      <c r="B34" s="28">
        <v>5.3408965735163001</v>
      </c>
      <c r="C34" s="28">
        <v>5.1107751689999992</v>
      </c>
      <c r="D34" s="28">
        <v>2.87730053695583</v>
      </c>
      <c r="E34" s="28">
        <v>4.853106135</v>
      </c>
      <c r="F34" s="25" t="s">
        <v>82</v>
      </c>
      <c r="O34" s="36">
        <v>14</v>
      </c>
      <c r="P34" s="35">
        <v>2020</v>
      </c>
      <c r="Q34" s="35">
        <v>460</v>
      </c>
      <c r="R34" s="33">
        <f t="shared" si="1"/>
        <v>73.134019999999992</v>
      </c>
    </row>
    <row r="35" spans="1:18" ht="15" thickBot="1" x14ac:dyDescent="0.4">
      <c r="A35" s="25">
        <v>2038</v>
      </c>
      <c r="B35" s="28">
        <v>5.3408965735163001</v>
      </c>
      <c r="C35" s="28">
        <v>5.0685390749999994</v>
      </c>
      <c r="D35" s="28">
        <v>2.5838993256302203</v>
      </c>
      <c r="E35" s="28">
        <v>4.7336997419999998</v>
      </c>
      <c r="F35" s="25" t="s">
        <v>82</v>
      </c>
      <c r="O35" s="36">
        <v>15</v>
      </c>
      <c r="P35" s="35">
        <v>2021</v>
      </c>
      <c r="Q35" s="35">
        <v>512</v>
      </c>
      <c r="R35" s="33">
        <f t="shared" si="1"/>
        <v>81.401343999999995</v>
      </c>
    </row>
    <row r="36" spans="1:18" ht="15" thickBot="1" x14ac:dyDescent="0.4">
      <c r="A36" s="25">
        <v>2039</v>
      </c>
      <c r="B36" s="28">
        <v>5.3408965735163001</v>
      </c>
      <c r="C36" s="28">
        <v>5.0351157249999998</v>
      </c>
      <c r="D36" s="28">
        <v>2.3846826586858603</v>
      </c>
      <c r="E36" s="28">
        <v>4.6105734810000003</v>
      </c>
      <c r="F36" s="25" t="s">
        <v>82</v>
      </c>
      <c r="O36" s="36">
        <v>16</v>
      </c>
      <c r="P36" s="35">
        <v>2022</v>
      </c>
      <c r="Q36" s="35">
        <v>512</v>
      </c>
      <c r="R36" s="33">
        <f t="shared" si="1"/>
        <v>81.401343999999995</v>
      </c>
    </row>
    <row r="37" spans="1:18" ht="15" thickBot="1" x14ac:dyDescent="0.4">
      <c r="A37" s="25">
        <v>2040</v>
      </c>
      <c r="B37" s="28">
        <v>5.3408965735163001</v>
      </c>
      <c r="C37" s="28">
        <v>5.0037912169999998</v>
      </c>
      <c r="D37" s="28">
        <v>2.2187972607942101</v>
      </c>
      <c r="E37" s="28">
        <v>4.4859939549999996</v>
      </c>
      <c r="F37" s="25" t="s">
        <v>82</v>
      </c>
      <c r="O37" s="36">
        <v>17</v>
      </c>
      <c r="P37" s="35">
        <v>2023</v>
      </c>
      <c r="Q37" s="35">
        <v>512</v>
      </c>
      <c r="R37" s="33">
        <f t="shared" si="1"/>
        <v>81.401343999999995</v>
      </c>
    </row>
    <row r="38" spans="1:18" ht="15" thickBot="1" x14ac:dyDescent="0.4">
      <c r="A38" s="25">
        <v>2041</v>
      </c>
      <c r="B38" s="28">
        <v>5.3408965735163001</v>
      </c>
      <c r="C38" s="28">
        <v>4.9622788090000007</v>
      </c>
      <c r="D38" s="28">
        <v>2.0705103402109697</v>
      </c>
      <c r="E38" s="28">
        <v>4.3506454379999999</v>
      </c>
      <c r="F38" s="25" t="s">
        <v>82</v>
      </c>
      <c r="O38" s="36">
        <v>18</v>
      </c>
      <c r="P38" s="35">
        <v>2024</v>
      </c>
      <c r="Q38" s="35">
        <v>512</v>
      </c>
      <c r="R38" s="33">
        <f t="shared" si="1"/>
        <v>81.401343999999995</v>
      </c>
    </row>
    <row r="39" spans="1:18" ht="15" thickBot="1" x14ac:dyDescent="0.4">
      <c r="A39" s="25">
        <v>2042</v>
      </c>
      <c r="B39" s="28">
        <v>5.3408965735163001</v>
      </c>
      <c r="C39" s="28">
        <v>4.9105287049999999</v>
      </c>
      <c r="D39" s="28">
        <v>1.9182388311288401</v>
      </c>
      <c r="E39" s="28">
        <v>4.2051746130000005</v>
      </c>
      <c r="F39" s="25" t="s">
        <v>82</v>
      </c>
      <c r="O39" s="36">
        <v>19</v>
      </c>
      <c r="P39" s="35">
        <v>2025</v>
      </c>
      <c r="Q39" s="35">
        <v>512</v>
      </c>
      <c r="R39" s="33">
        <f t="shared" si="1"/>
        <v>81.401343999999995</v>
      </c>
    </row>
    <row r="40" spans="1:18" x14ac:dyDescent="0.35">
      <c r="A40" s="25">
        <v>2043</v>
      </c>
      <c r="B40" s="28">
        <v>5.3408965735163001</v>
      </c>
      <c r="C40" s="28">
        <v>4.846096599</v>
      </c>
      <c r="D40" s="28">
        <v>1.7615379717689099</v>
      </c>
      <c r="E40" s="28">
        <v>4.091063278</v>
      </c>
      <c r="F40" s="25" t="s">
        <v>82</v>
      </c>
    </row>
    <row r="41" spans="1:18" x14ac:dyDescent="0.35">
      <c r="A41" s="25">
        <v>2044</v>
      </c>
      <c r="B41" s="28">
        <v>5.3408965735163001</v>
      </c>
      <c r="C41" s="28">
        <v>4.7865415439999994</v>
      </c>
      <c r="D41" s="28">
        <v>1.60583657492675</v>
      </c>
      <c r="E41" s="28">
        <v>3.9841184640000002</v>
      </c>
      <c r="F41" s="25" t="s">
        <v>82</v>
      </c>
    </row>
    <row r="42" spans="1:18" x14ac:dyDescent="0.35">
      <c r="A42" s="25">
        <v>2045</v>
      </c>
      <c r="B42" s="28">
        <v>5.3408965735163001</v>
      </c>
      <c r="C42" s="28">
        <v>4.7126235980000004</v>
      </c>
      <c r="D42" s="28">
        <v>1.43801561508959</v>
      </c>
      <c r="E42" s="28">
        <v>3.8899815499999999</v>
      </c>
      <c r="F42" s="25" t="s">
        <v>82</v>
      </c>
    </row>
    <row r="43" spans="1:18" x14ac:dyDescent="0.35">
      <c r="A43" s="25">
        <v>2046</v>
      </c>
      <c r="B43" s="28">
        <v>5.3408965735163001</v>
      </c>
      <c r="C43" s="28">
        <v>4.662514829</v>
      </c>
      <c r="D43" s="28">
        <v>1.2204396220728599</v>
      </c>
      <c r="E43" s="28">
        <v>3.798113437</v>
      </c>
      <c r="F43" s="25" t="s">
        <v>82</v>
      </c>
    </row>
    <row r="44" spans="1:18" x14ac:dyDescent="0.35">
      <c r="A44" s="25">
        <v>2047</v>
      </c>
      <c r="B44" s="28">
        <v>5.3408965735163001</v>
      </c>
      <c r="C44" s="28">
        <v>4.6149620010000003</v>
      </c>
      <c r="D44" s="28">
        <v>1.08865011561319</v>
      </c>
      <c r="E44" s="28">
        <v>3.705035235</v>
      </c>
      <c r="F44" s="25" t="s">
        <v>82</v>
      </c>
    </row>
    <row r="45" spans="1:18" ht="15" thickBot="1" x14ac:dyDescent="0.4">
      <c r="A45" s="25">
        <v>2048</v>
      </c>
      <c r="B45" s="28">
        <v>5.3408965735163001</v>
      </c>
      <c r="C45" s="28">
        <v>4.5732341060000001</v>
      </c>
      <c r="D45" s="28">
        <v>0.98644419806047201</v>
      </c>
      <c r="E45" s="28">
        <v>3.60402413</v>
      </c>
      <c r="F45" s="25" t="s">
        <v>82</v>
      </c>
      <c r="O45" s="36">
        <v>1</v>
      </c>
      <c r="P45" s="35">
        <v>2010</v>
      </c>
      <c r="Q45" s="37" t="s">
        <v>93</v>
      </c>
      <c r="R45" s="35">
        <v>35.6</v>
      </c>
    </row>
    <row r="46" spans="1:18" ht="15" thickBot="1" x14ac:dyDescent="0.4">
      <c r="A46" s="25">
        <v>2049</v>
      </c>
      <c r="B46" s="28">
        <v>5.3408965735163001</v>
      </c>
      <c r="C46" s="28">
        <v>4.5409941619999996</v>
      </c>
      <c r="D46" s="28">
        <v>0.90061261722485908</v>
      </c>
      <c r="E46" s="28">
        <v>3.5067031579999997</v>
      </c>
      <c r="F46" s="25" t="s">
        <v>82</v>
      </c>
      <c r="O46" s="36">
        <v>2</v>
      </c>
      <c r="P46" s="35">
        <v>2011</v>
      </c>
      <c r="Q46" s="37" t="s">
        <v>93</v>
      </c>
      <c r="R46" s="35">
        <v>80.599999999999994</v>
      </c>
    </row>
    <row r="47" spans="1:18" ht="15" thickBot="1" x14ac:dyDescent="0.4">
      <c r="A47" s="25">
        <v>2050</v>
      </c>
      <c r="B47" s="28">
        <v>5.3408965735163001</v>
      </c>
      <c r="C47" s="28">
        <v>4.4962179249999998</v>
      </c>
      <c r="D47" s="28">
        <v>0.76872320000946193</v>
      </c>
      <c r="E47" s="28">
        <v>3.3968768900000001</v>
      </c>
      <c r="F47" s="25" t="s">
        <v>82</v>
      </c>
      <c r="O47" s="36">
        <v>3</v>
      </c>
      <c r="P47" s="35">
        <v>2012</v>
      </c>
      <c r="Q47" s="37" t="s">
        <v>93</v>
      </c>
      <c r="R47" s="35">
        <v>83.5</v>
      </c>
    </row>
    <row r="48" spans="1:18" ht="15" thickBot="1" x14ac:dyDescent="0.4">
      <c r="O48" s="36">
        <v>4</v>
      </c>
      <c r="P48" s="35">
        <v>2013</v>
      </c>
      <c r="Q48" s="37" t="s">
        <v>93</v>
      </c>
      <c r="R48" s="35">
        <v>82.8</v>
      </c>
    </row>
    <row r="49" spans="15:18" ht="15" thickBot="1" x14ac:dyDescent="0.4">
      <c r="O49" s="36">
        <v>5</v>
      </c>
      <c r="P49" s="35">
        <v>2014</v>
      </c>
      <c r="Q49" s="37" t="s">
        <v>93</v>
      </c>
      <c r="R49" s="35">
        <v>87.2</v>
      </c>
    </row>
    <row r="50" spans="15:18" ht="15" thickBot="1" x14ac:dyDescent="0.4">
      <c r="O50" s="36">
        <v>6</v>
      </c>
      <c r="P50" s="35">
        <v>2015</v>
      </c>
      <c r="Q50" s="37" t="s">
        <v>93</v>
      </c>
      <c r="R50" s="35">
        <v>93.1</v>
      </c>
    </row>
    <row r="51" spans="15:18" ht="15" thickBot="1" x14ac:dyDescent="0.4">
      <c r="O51" s="36">
        <v>7</v>
      </c>
      <c r="P51" s="35">
        <v>2016</v>
      </c>
      <c r="Q51" s="37" t="s">
        <v>93</v>
      </c>
      <c r="R51" s="35">
        <v>95.1</v>
      </c>
    </row>
    <row r="52" spans="15:18" ht="15" thickBot="1" x14ac:dyDescent="0.4">
      <c r="O52" s="36">
        <v>8</v>
      </c>
      <c r="P52" s="35">
        <v>2017</v>
      </c>
      <c r="Q52" s="37" t="s">
        <v>93</v>
      </c>
      <c r="R52" s="35">
        <v>92.6</v>
      </c>
    </row>
    <row r="53" spans="15:18" ht="15" thickBot="1" x14ac:dyDescent="0.4">
      <c r="O53" s="36">
        <v>9</v>
      </c>
      <c r="P53" s="35">
        <v>2018</v>
      </c>
      <c r="Q53" s="37" t="s">
        <v>93</v>
      </c>
      <c r="R53" s="35">
        <v>93.7</v>
      </c>
    </row>
    <row r="54" spans="15:18" ht="15" thickBot="1" x14ac:dyDescent="0.4">
      <c r="O54" s="36">
        <v>10</v>
      </c>
      <c r="P54" s="35">
        <v>2019</v>
      </c>
      <c r="Q54" s="37" t="s">
        <v>93</v>
      </c>
      <c r="R54" s="35">
        <v>91.2</v>
      </c>
    </row>
    <row r="55" spans="15:18" ht="15" thickBot="1" x14ac:dyDescent="0.4">
      <c r="O55" s="36">
        <v>11</v>
      </c>
      <c r="P55" s="35">
        <v>2020</v>
      </c>
      <c r="Q55" s="37" t="s">
        <v>93</v>
      </c>
      <c r="R55" s="35">
        <v>95</v>
      </c>
    </row>
    <row r="56" spans="15:18" ht="15" thickBot="1" x14ac:dyDescent="0.4">
      <c r="O56" s="36">
        <v>12</v>
      </c>
      <c r="P56" s="35">
        <v>2021</v>
      </c>
      <c r="Q56" s="37" t="s">
        <v>93</v>
      </c>
      <c r="R56" s="35">
        <v>99.7</v>
      </c>
    </row>
    <row r="57" spans="15:18" ht="15" thickBot="1" x14ac:dyDescent="0.4">
      <c r="O57" s="36">
        <v>13</v>
      </c>
      <c r="P57" s="35">
        <v>2022</v>
      </c>
      <c r="Q57" s="37" t="s">
        <v>93</v>
      </c>
      <c r="R57" s="35">
        <v>98.9</v>
      </c>
    </row>
    <row r="58" spans="15:18" ht="15" thickBot="1" x14ac:dyDescent="0.4">
      <c r="O58" s="36">
        <v>14</v>
      </c>
      <c r="P58" s="35">
        <v>2023</v>
      </c>
      <c r="Q58" s="37" t="s">
        <v>93</v>
      </c>
      <c r="R58" s="35">
        <v>98.9</v>
      </c>
    </row>
    <row r="59" spans="15:18" ht="15" thickBot="1" x14ac:dyDescent="0.4">
      <c r="O59" s="36">
        <v>15</v>
      </c>
      <c r="P59" s="35">
        <v>2024</v>
      </c>
      <c r="Q59" s="37" t="s">
        <v>93</v>
      </c>
      <c r="R59" s="35">
        <v>98.9</v>
      </c>
    </row>
    <row r="60" spans="15:18" ht="15" thickBot="1" x14ac:dyDescent="0.4">
      <c r="O60" s="36">
        <v>16</v>
      </c>
      <c r="P60" s="35">
        <v>2025</v>
      </c>
      <c r="Q60" s="37" t="s">
        <v>93</v>
      </c>
      <c r="R60" s="35">
        <v>101.6</v>
      </c>
    </row>
    <row r="63" spans="15:18" ht="15" thickBot="1" x14ac:dyDescent="0.4">
      <c r="O63" s="36">
        <v>1</v>
      </c>
      <c r="P63" s="35">
        <v>2006</v>
      </c>
      <c r="Q63" s="37" t="s">
        <v>94</v>
      </c>
      <c r="R63" s="35">
        <v>30</v>
      </c>
    </row>
    <row r="64" spans="15:18" ht="15" thickBot="1" x14ac:dyDescent="0.4">
      <c r="O64" s="36">
        <v>2</v>
      </c>
      <c r="P64" s="35">
        <v>2007</v>
      </c>
      <c r="Q64" s="37" t="s">
        <v>94</v>
      </c>
      <c r="R64" s="35">
        <v>40</v>
      </c>
    </row>
    <row r="65" spans="15:18" ht="15" thickBot="1" x14ac:dyDescent="0.4">
      <c r="O65" s="36">
        <v>3</v>
      </c>
      <c r="P65" s="35">
        <v>2008</v>
      </c>
      <c r="Q65" s="37" t="s">
        <v>94</v>
      </c>
      <c r="R65" s="35">
        <v>40</v>
      </c>
    </row>
    <row r="66" spans="15:18" ht="15" thickBot="1" x14ac:dyDescent="0.4">
      <c r="O66" s="36">
        <v>4</v>
      </c>
      <c r="P66" s="35">
        <v>2009</v>
      </c>
      <c r="Q66" s="37" t="s">
        <v>94</v>
      </c>
      <c r="R66" s="35">
        <v>48</v>
      </c>
    </row>
    <row r="67" spans="15:18" ht="15" thickBot="1" x14ac:dyDescent="0.4">
      <c r="O67" s="36">
        <v>5</v>
      </c>
      <c r="P67" s="35">
        <v>2010</v>
      </c>
      <c r="Q67" s="37" t="s">
        <v>94</v>
      </c>
      <c r="R67" s="35">
        <v>47</v>
      </c>
    </row>
    <row r="68" spans="15:18" ht="15" thickBot="1" x14ac:dyDescent="0.4">
      <c r="O68" s="36">
        <v>6</v>
      </c>
      <c r="P68" s="35">
        <v>2011</v>
      </c>
      <c r="Q68" s="37" t="s">
        <v>94</v>
      </c>
      <c r="R68" s="35">
        <v>36</v>
      </c>
    </row>
    <row r="69" spans="15:18" ht="15" thickBot="1" x14ac:dyDescent="0.4">
      <c r="O69" s="36">
        <v>7</v>
      </c>
      <c r="P69" s="35">
        <v>2012</v>
      </c>
      <c r="Q69" s="37" t="s">
        <v>94</v>
      </c>
      <c r="R69" s="35">
        <v>44</v>
      </c>
    </row>
    <row r="70" spans="15:18" ht="15" thickBot="1" x14ac:dyDescent="0.4">
      <c r="O70" s="36">
        <v>8</v>
      </c>
      <c r="P70" s="35">
        <v>2013</v>
      </c>
      <c r="Q70" s="37" t="s">
        <v>94</v>
      </c>
      <c r="R70" s="35">
        <v>39</v>
      </c>
    </row>
    <row r="71" spans="15:18" ht="15" thickBot="1" x14ac:dyDescent="0.4">
      <c r="O71" s="36">
        <v>9</v>
      </c>
      <c r="P71" s="35">
        <v>2014</v>
      </c>
      <c r="Q71" s="37" t="s">
        <v>94</v>
      </c>
      <c r="R71" s="35">
        <v>50</v>
      </c>
    </row>
    <row r="72" spans="15:18" ht="15" thickBot="1" x14ac:dyDescent="0.4">
      <c r="O72" s="36">
        <v>10</v>
      </c>
      <c r="P72" s="35">
        <v>2015</v>
      </c>
      <c r="Q72" s="37" t="s">
        <v>94</v>
      </c>
      <c r="R72" s="35">
        <v>45</v>
      </c>
    </row>
    <row r="73" spans="15:18" ht="15" thickBot="1" x14ac:dyDescent="0.4">
      <c r="O73" s="36">
        <v>11</v>
      </c>
      <c r="P73" s="35">
        <v>2016</v>
      </c>
      <c r="Q73" s="37" t="s">
        <v>94</v>
      </c>
      <c r="R73" s="35">
        <v>46</v>
      </c>
    </row>
    <row r="74" spans="15:18" ht="15" thickBot="1" x14ac:dyDescent="0.4">
      <c r="O74" s="36">
        <v>12</v>
      </c>
      <c r="P74" s="35">
        <v>2017</v>
      </c>
      <c r="Q74" s="37" t="s">
        <v>94</v>
      </c>
      <c r="R74" s="35">
        <v>49</v>
      </c>
    </row>
    <row r="75" spans="15:18" ht="15" thickBot="1" x14ac:dyDescent="0.4">
      <c r="O75" s="36">
        <v>13</v>
      </c>
      <c r="P75" s="35">
        <v>2018</v>
      </c>
      <c r="Q75" s="37" t="s">
        <v>94</v>
      </c>
      <c r="R75" s="35">
        <v>50</v>
      </c>
    </row>
    <row r="76" spans="15:18" ht="15" thickBot="1" x14ac:dyDescent="0.4">
      <c r="O76" s="36">
        <v>14</v>
      </c>
      <c r="P76" s="35">
        <v>2019</v>
      </c>
      <c r="Q76" s="37" t="s">
        <v>94</v>
      </c>
      <c r="R76" s="35">
        <v>49</v>
      </c>
    </row>
    <row r="77" spans="15:18" ht="15" thickBot="1" x14ac:dyDescent="0.4">
      <c r="O77" s="36">
        <v>15</v>
      </c>
      <c r="P77" s="35">
        <v>2020</v>
      </c>
      <c r="Q77" s="37" t="s">
        <v>94</v>
      </c>
      <c r="R77" s="35">
        <v>53</v>
      </c>
    </row>
    <row r="78" spans="15:18" ht="15" thickBot="1" x14ac:dyDescent="0.4">
      <c r="O78" s="36">
        <v>16</v>
      </c>
      <c r="P78" s="35">
        <v>2021</v>
      </c>
      <c r="Q78" s="37" t="s">
        <v>94</v>
      </c>
      <c r="R78" s="35">
        <v>33.299999999999997</v>
      </c>
    </row>
    <row r="79" spans="15:18" ht="15" thickBot="1" x14ac:dyDescent="0.4">
      <c r="O79" s="36">
        <v>17</v>
      </c>
      <c r="P79" s="35">
        <v>2022</v>
      </c>
      <c r="Q79" s="37" t="s">
        <v>94</v>
      </c>
      <c r="R79" s="35">
        <v>55</v>
      </c>
    </row>
    <row r="80" spans="15:18" ht="15" thickBot="1" x14ac:dyDescent="0.4">
      <c r="O80" s="36">
        <v>18</v>
      </c>
      <c r="P80" s="35">
        <v>2023</v>
      </c>
      <c r="Q80" s="37" t="s">
        <v>94</v>
      </c>
      <c r="R80" s="35">
        <v>51</v>
      </c>
    </row>
    <row r="81" spans="15:18" ht="15" thickBot="1" x14ac:dyDescent="0.4">
      <c r="O81" s="36">
        <v>19</v>
      </c>
      <c r="P81" s="35">
        <v>2024</v>
      </c>
      <c r="Q81" s="37" t="s">
        <v>94</v>
      </c>
      <c r="R81" s="35">
        <v>143</v>
      </c>
    </row>
    <row r="82" spans="15:18" ht="15" thickBot="1" x14ac:dyDescent="0.4">
      <c r="O82" s="36">
        <v>20</v>
      </c>
      <c r="P82" s="35">
        <v>2025</v>
      </c>
      <c r="Q82" s="37" t="s">
        <v>94</v>
      </c>
      <c r="R82" s="35">
        <v>142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ES.10</vt:lpstr>
      <vt:lpstr>2020_mods</vt:lpstr>
      <vt:lpstr>Sheet1</vt:lpstr>
      <vt:lpstr>10.7</vt:lpstr>
      <vt:lpstr>bbld</vt:lpstr>
      <vt:lpstr>2020ES.8</vt:lpstr>
      <vt:lpstr>R.33</vt:lpstr>
    </vt:vector>
  </TitlesOfParts>
  <Company>University of Alberta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Leach</dc:creator>
  <cp:lastModifiedBy>aleach</cp:lastModifiedBy>
  <dcterms:created xsi:type="dcterms:W3CDTF">2018-05-12T03:59:27Z</dcterms:created>
  <dcterms:modified xsi:type="dcterms:W3CDTF">2025-10-18T05:13:07Z</dcterms:modified>
</cp:coreProperties>
</file>